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991de8252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715380db31864ee1"/>
    <x:sheet xmlns:r="http://schemas.openxmlformats.org/officeDocument/2006/relationships" name="Ringkasan" sheetId="2" r:id="Reb98aa38545a489d"/>
    <x:sheet xmlns:r="http://schemas.openxmlformats.org/officeDocument/2006/relationships" name="Ruang Lingkup" sheetId="3" r:id="R54287b3d782f407c"/>
    <x:sheet xmlns:r="http://schemas.openxmlformats.org/officeDocument/2006/relationships" name="Kasus Uji Regresi" sheetId="4" r:id="R116f31e0863543ea"/>
    <x:sheet xmlns:r="http://schemas.openxmlformats.org/officeDocument/2006/relationships" name="Matriks Ketertelusuran" sheetId="5" r:id="R7e3947d938224aa0"/>
    <x:sheet xmlns:r="http://schemas.openxmlformats.org/officeDocument/2006/relationships" name="Log Eksekusi" sheetId="6" r:id="R2433f0298cef49e8"/>
    <x:sheet xmlns:r="http://schemas.openxmlformats.org/officeDocument/2006/relationships" name="Log Cacat" sheetId="7" r:id="R9750ca6c526e430e"/>
    <x:sheet xmlns:r="http://schemas.openxmlformats.org/officeDocument/2006/relationships" name="Daftar Nilai" sheetId="8" r:id="R335694ffcb65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F"/>
      </x:patternFill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6A34A"/>
      </x:font>
    </x:dxf>
    <x:dxf>
      <x:font>
        <x:b/>
        <x:color rgb="FFDC2626"/>
      </x:font>
    </x:dxf>
    <x:dxf>
      <x:font>
        <x:b/>
        <x:color rgb="FFD97706"/>
      </x:font>
    </x:dxf>
    <x:dxf>
      <x:font>
        <x:b/>
        <x:color rgb="FF16A34A"/>
      </x:font>
    </x:dxf>
    <x:dxf>
      <x:font>
        <x:b/>
        <x:color rgb="FFDC2626"/>
      </x:font>
    </x:dxf>
    <x:dxf>
      <x:font>
        <x:b/>
        <x:color rgb="FFDC2626"/>
      </x:font>
    </x:dxf>
    <x:dxf>
      <x:font>
        <x:b/>
        <x:color rgb="FFD97706"/>
      </x:font>
    </x:dxf>
    <x:dxf>
      <x:font>
        <x:b/>
        <x:color rgb="FFDC2626"/>
      </x:font>
    </x:dxf>
    <x:dxf>
      <x:font>
        <x:b/>
        <x:color rgb="FF16A34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50d93721f4a46" /><Relationship Type="http://schemas.openxmlformats.org/officeDocument/2006/relationships/theme" Target="/xl/theme/theme1.xml" Id="R88fa21b01f474691" /><Relationship Type="http://schemas.openxmlformats.org/officeDocument/2006/relationships/sharedStrings" Target="/xl/sharedStrings.xml" Id="R1b3ba4d0363c43cc" /><Relationship Type="http://schemas.openxmlformats.org/officeDocument/2006/relationships/worksheet" Target="/xl/worksheets/sheet1.xml" Id="R715380db31864ee1" /><Relationship Type="http://schemas.openxmlformats.org/officeDocument/2006/relationships/worksheet" Target="/xl/worksheets/sheet2.xml" Id="Reb98aa38545a489d" /><Relationship Type="http://schemas.openxmlformats.org/officeDocument/2006/relationships/worksheet" Target="/xl/worksheets/sheet3.xml" Id="R54287b3d782f407c" /><Relationship Type="http://schemas.openxmlformats.org/officeDocument/2006/relationships/worksheet" Target="/xl/worksheets/sheet4.xml" Id="R116f31e0863543ea" /><Relationship Type="http://schemas.openxmlformats.org/officeDocument/2006/relationships/worksheet" Target="/xl/worksheets/sheet5.xml" Id="R7e3947d938224aa0" /><Relationship Type="http://schemas.openxmlformats.org/officeDocument/2006/relationships/worksheet" Target="/xl/worksheets/sheet6.xml" Id="R2433f0298cef49e8" /><Relationship Type="http://schemas.openxmlformats.org/officeDocument/2006/relationships/worksheet" Target="/xl/worksheets/sheet7.xml" Id="R9750ca6c526e430e" /><Relationship Type="http://schemas.openxmlformats.org/officeDocument/2006/relationships/worksheet" Target="/xl/worksheets/sheet8.xml" Id="R335694ffcb654e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4a18df15284d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Distribusi Status Eksekusi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'Ringkasan'!$A$18:$A$21</c:f>
              <c:strCache>
                <c:ptCount val="0"/>
              </c:strCache>
            </c:strRef>
          </c:cat>
          <c:val>
            <c:numRef>
              <c:f>'Ringkasan'!$B$18:$B$21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4a18df15284d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opePrioritasTable" displayName="ScopePrioritasTable" ref="A4:I10" headerRowCount="1">
  <x:tableColumns count="9">
    <x:tableColumn id="1" name="ID Scope"/>
    <x:tableColumn id="2" name="Area"/>
    <x:tableColumn id="3" name="Pemicu Regresi"/>
    <x:tableColumn id="4" name="Risiko Perubahan"/>
    <x:tableColumn id="5" name="Dampak Bisnis"/>
    <x:tableColumn id="6" name="Prioritas"/>
    <x:tableColumn id="7" name="Suite Terpilih"/>
    <x:tableColumn id="8" name="Dieksekusi"/>
    <x:tableColumn id="9" name="Catatan"/>
  </x:tableColumns>
  <x:tableStyleInfo name="TableStyleMedium2" showRowStripes="1"/>
</x:table>
</file>

<file path=xl/tables/table2.xml><?xml version="1.0" encoding="utf-8"?>
<x:table xmlns:x="http://schemas.openxmlformats.org/spreadsheetml/2006/main" id="2" name="TestCaseRegresiTable" displayName="TestCaseRegresiTable" ref="A4:T34" headerRowCount="1">
  <x:tableColumns count="20">
    <x:tableColumn id="1" name="ID Kasus Uji"/>
    <x:tableColumn id="2" name="Nama Kasus Uji"/>
    <x:tableColumn id="3" name="Deskripsi"/>
    <x:tableColumn id="4" name="Suite Regresi"/>
    <x:tableColumn id="5" name="Modul/Fitur"/>
    <x:tableColumn id="6" name="Tipe Uji"/>
    <x:tableColumn id="7" name="Prioritas"/>
    <x:tableColumn id="8" name="Prasyarat"/>
    <x:tableColumn id="9" name="Langkah Uji"/>
    <x:tableColumn id="10" name="Data Input"/>
    <x:tableColumn id="11" name="Hasil yang Diharapkan"/>
    <x:tableColumn id="12" name="Hasil Aktual"/>
    <x:tableColumn id="13" name="Lingkungan Uji"/>
    <x:tableColumn id="14" name="Status Eksekusi"/>
    <x:tableColumn id="15" name="Tingkat Keparahan Cacat"/>
    <x:tableColumn id="16" name="Prioritas Cacat"/>
    <x:tableColumn id="17" name="Status Otomatisasi"/>
    <x:tableColumn id="18" name="Tester"/>
    <x:tableColumn id="19" name="Tanggal Eksekusi"/>
    <x:tableColumn id="20" name="Catatan / Referensi"/>
  </x:tableColumns>
  <x:tableStyleInfo name="TableStyleMedium2" showRowStripes="1"/>
</x:table>
</file>

<file path=xl/tables/table3.xml><?xml version="1.0" encoding="utf-8"?>
<x:table xmlns:x="http://schemas.openxmlformats.org/spreadsheetml/2006/main" id="5" name="MatriksTraceabilityTable" displayName="MatriksTraceabilityTable" ref="A4:F11" headerRowCount="1">
  <x:tableColumns count="6">
    <x:tableColumn id="1" name="ID Kebutuhan"/>
    <x:tableColumn id="2" name="Area/Fitur"/>
    <x:tableColumn id="3" name="Kasus Uji Terkait"/>
    <x:tableColumn id="4" name="Cakupan"/>
    <x:tableColumn id="5" name="Status Hasil"/>
    <x:tableColumn id="6" name="Catatan"/>
  </x:tableColumns>
  <x:tableStyleInfo name="TableStyleMedium2" showRowStripes="1"/>
</x:table>
</file>

<file path=xl/tables/table4.xml><?xml version="1.0" encoding="utf-8"?>
<x:table xmlns:x="http://schemas.openxmlformats.org/spreadsheetml/2006/main" id="3" name="LogEksekusiTable" displayName="LogEksekusiTable" ref="A4:E9" headerRowCount="1">
  <x:tableColumns count="5">
    <x:tableColumn id="1" name="Tanggal"/>
    <x:tableColumn id="2" name="Aktivitas / Perintah"/>
    <x:tableColumn id="3" name="Status"/>
    <x:tableColumn id="4" name="Hasil Ringkas"/>
    <x:tableColumn id="5" name="Catatan"/>
  </x:tableColumns>
  <x:tableStyleInfo name="TableStyleMedium2" showRowStripes="1"/>
</x:table>
</file>

<file path=xl/tables/table5.xml><?xml version="1.0" encoding="utf-8"?>
<x:table xmlns:x="http://schemas.openxmlformats.org/spreadsheetml/2006/main" id="4" name="LogDefectTable" displayName="LogDefectTable" ref="A4:H8" headerRowCount="1">
  <x:tableColumns count="8">
    <x:tableColumn id="1" name="ID Cacat"/>
    <x:tableColumn id="2" name="Judul"/>
    <x:tableColumn id="3" name="Keparahan"/>
    <x:tableColumn id="4" name="Prioritas"/>
    <x:tableColumn id="5" name="Status"/>
    <x:tableColumn id="6" name="Kasus Uji Terkait"/>
    <x:tableColumn id="7" name="Bukti"/>
    <x:tableColumn id="8" name="Rekomendasi Perbaik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316799564da40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69db8ef4b4547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5e54c47d703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36f9a5e09444a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bbab793ff5847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3524b6821e448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9" customHeight="1">
      <x:c r="A1" s="16" t="str">
        <x:v>Panduan Workbook Pengujian Regresi Gabara LMS</x:v>
      </x:c>
      <x:c r="B1" s="16" t="str"/>
      <x:c r="C1" s="16" t="str"/>
      <x:c r="D1" s="16" t="str"/>
      <x:c r="E1" s="16" t="str"/>
      <x:c r="F1" s="16" t="str"/>
    </x:row>
    <x:row r="2">
      <x:c r="A2" s="17" t="str">
        <x:v>Struktur mengikuti praktik template Katalon: ruang lingkup/prioritas, kasus uji, ketertelusuran, log eksekusi, log cacat, dan ringkasan.</x:v>
      </x:c>
      <x:c r="B2" s="17" t="str"/>
      <x:c r="C2" s="17" t="str"/>
      <x:c r="D2" s="17" t="str"/>
      <x:c r="E2" s="17" t="str"/>
      <x:c r="F2" s="17" t="str"/>
    </x:row>
    <x:row r="3">
      <x:c r="A3" s="18"/>
      <x:c r="B3" s="18"/>
      <x:c r="C3" s="18"/>
      <x:c r="D3" s="18"/>
      <x:c r="E3" s="18"/>
      <x:c r="F3" s="18"/>
    </x:row>
    <x:row r="4" ht="25.5" customHeight="1">
      <x:c r="A4" s="19" t="str">
        <x:v>Atribut</x:v>
      </x:c>
      <x:c r="B4" s="19" t="str">
        <x:v>Nilai</x:v>
      </x:c>
      <x:c r="C4" s="18"/>
      <x:c r="D4" s="18"/>
      <x:c r="E4" s="18"/>
      <x:c r="F4" s="18"/>
    </x:row>
    <x:row r="5">
      <x:c r="A5" s="20" t="str">
        <x:v>Nama proyek</x:v>
      </x:c>
      <x:c r="B5" s="20" t="str">
        <x:v>Gabara LMS - Garasi Belajar Banjarnegara</x:v>
      </x:c>
      <x:c r="C5" s="18"/>
      <x:c r="D5" s="18"/>
      <x:c r="E5" s="18"/>
      <x:c r="F5" s="18"/>
    </x:row>
    <x:row r="6">
      <x:c r="A6" s="20" t="str">
        <x:v>Jenis pengujian</x:v>
      </x:c>
      <x:c r="B6" s="20" t="str">
        <x:v>Regression Testing</x:v>
      </x:c>
      <x:c r="C6" s="18"/>
      <x:c r="D6" s="18"/>
      <x:c r="E6" s="18"/>
      <x:c r="F6" s="18"/>
    </x:row>
    <x:row r="7">
      <x:c r="A7" s="20" t="str">
        <x:v>Basis template</x:v>
      </x:c>
      <x:c r="B7" s="20" t="str">
        <x:v>Katalon Regression Testing Starter Kit dan Katalon Test Case Template, diterjemahkan ke Bahasa Indonesia</x:v>
      </x:c>
      <x:c r="C7" s="18"/>
      <x:c r="D7" s="18"/>
      <x:c r="E7" s="18"/>
      <x:c r="F7" s="18"/>
    </x:row>
    <x:row r="8">
      <x:c r="A8" s="20" t="str">
        <x:v>Branch / Commit</x:v>
      </x:c>
      <x:c r="B8" s="20" t="str">
        <x:v>testcase/pengujian-pl / 7976574</x:v>
      </x:c>
      <x:c r="C8" s="18"/>
      <x:c r="D8" s="18"/>
      <x:c r="E8" s="18"/>
      <x:c r="F8" s="18"/>
    </x:row>
    <x:row r="9">
      <x:c r="A9" s="20" t="str">
        <x:v>Lingkungan uji</x:v>
      </x:c>
      <x:c r="B9" s="20" t="str">
        <x:v>Windows lokal; Laravel 12; React/Inertia; MySQL dbs_gabara_testing</x:v>
      </x:c>
      <x:c r="C9" s="18"/>
      <x:c r="D9" s="18"/>
      <x:c r="E9" s="18"/>
      <x:c r="F9" s="18"/>
    </x:row>
    <x:row r="10">
      <x:c r="A10" s="20" t="str">
        <x:v>Basis data</x:v>
      </x:c>
      <x:c r="B10" s="20" t="str">
        <x:v>MySQL; database otomatis: dbs_gabara_testing</x:v>
      </x:c>
      <x:c r="C10" s="18"/>
      <x:c r="D10" s="18"/>
      <x:c r="E10" s="18"/>
      <x:c r="F10" s="18"/>
    </x:row>
    <x:row r="11">
      <x:c r="A11" s="20" t="str">
        <x:v>Tanggal penyusunan</x:v>
      </x:c>
      <x:c r="B11" s="20" t="str">
        <x:v>2026-06-07</x:v>
      </x:c>
      <x:c r="C11" s="18"/>
      <x:c r="D11" s="18"/>
      <x:c r="E11" s="18"/>
      <x:c r="F11" s="18"/>
    </x:row>
    <x:row r="12">
      <x:c r="A12" s="20" t="str">
        <x:v>Status utama</x:v>
      </x:c>
      <x:c r="B12" s="20" t="str">
        <x:v>Penyelarasan kasus uji lama lulus; full PHPUnit dan lint masih memiliki cacat terbuka.</x:v>
      </x:c>
      <x:c r="C12" s="18"/>
      <x:c r="D12" s="18"/>
      <x:c r="E12" s="18"/>
      <x:c r="F12" s="18"/>
    </x:row>
    <x:row r="13">
      <x:c r="A13" s="20" t="str">
        <x:v>Catatan UAT</x:v>
      </x:c>
      <x:c r="B13" s="20" t="str">
        <x:v>Role mentah tester dikategorikan sebagai Murid/Siswa sesuai klarifikasi pengguna.</x:v>
      </x:c>
      <x:c r="C13" s="18"/>
      <x:c r="D13" s="18"/>
      <x:c r="E13" s="18"/>
      <x:c r="F13" s="18"/>
    </x:row>
    <x:row r="14">
      <x:c r="A14" s="20" t="str">
        <x:v>Sumber Katalon 1</x:v>
      </x:c>
      <x:c r="B14" s="20" t="str">
        <x:v>https://katalon.com/resources-center/blog/test-case-template-examples</x:v>
      </x:c>
      <x:c r="C14" s="18"/>
      <x:c r="D14" s="18"/>
      <x:c r="E14" s="18"/>
      <x:c r="F14" s="18"/>
    </x:row>
    <x:row r="15">
      <x:c r="A15" s="20" t="str">
        <x:v>Sumber Katalon 2</x:v>
      </x:c>
      <x:c r="B15" s="20" t="str">
        <x:v>https://katalon.com/resources-center/blog/regression-testing-starter-kit-free-excel-template</x:v>
      </x:c>
      <x:c r="C15" s="18"/>
      <x:c r="D15" s="18"/>
      <x:c r="E15" s="18"/>
      <x:c r="F15" s="18"/>
    </x:row>
    <x:row r="16">
      <x:c r="A16" s="20" t="str">
        <x:v>Sumber Katalon Docs</x:v>
      </x:c>
      <x:c r="B16" s="20" t="str">
        <x:v>https://docs.katalon.com/katalon-platform/create-tests/create-new-test-cases</x:v>
      </x:c>
      <x:c r="C16" s="18"/>
      <x:c r="D16" s="18"/>
      <x:c r="E16" s="18"/>
      <x:c r="F16" s="18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6" hidden="0" customWidth="1"/>
    <x:col min="4" max="4" width="4" hidden="0" customWidth="1"/>
    <x:col min="5" max="5" width="24" hidden="0" customWidth="1"/>
    <x:col min="6" max="6" width="32" hidden="0" customWidth="1"/>
    <x:col min="7" max="7" width="16" hidden="0" customWidth="1"/>
    <x:col min="8" max="8" width="16" hidden="0" customWidth="1"/>
  </x:cols>
  <x:sheetData>
    <x:row r="1" ht="39" customHeight="1">
      <x:c r="A1" s="16" t="str">
        <x:v>Ringkasan Pengujian Regresi</x:v>
      </x:c>
      <x:c r="B1" s="16" t="str"/>
      <x:c r="C1" s="16" t="str"/>
      <x:c r="D1" s="16" t="str"/>
      <x:c r="E1" s="16" t="str"/>
      <x:c r="F1" s="16" t="str"/>
      <x:c r="G1" s="16" t="str"/>
      <x:c r="H1" s="16" t="str"/>
    </x:row>
    <x:row r="2">
      <x:c r="A2" s="17" t="str">
        <x:v>Ringkasan status kasus uji, cacat, cakupan otomatisasi, dan kualitas eksekusi.</x:v>
      </x:c>
      <x:c r="B2" s="17" t="str"/>
      <x:c r="C2" s="17" t="str"/>
      <x:c r="D2" s="17" t="str"/>
      <x:c r="E2" s="17" t="str"/>
      <x:c r="F2" s="17" t="str"/>
      <x:c r="G2" s="17" t="str"/>
      <x:c r="H2" s="17" t="str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 ht="25.5" customHeight="1">
      <x:c r="A4" s="19" t="str">
        <x:v>Metrik</x:v>
      </x:c>
      <x:c r="B4" s="19" t="str">
        <x:v>Nilai</x:v>
      </x:c>
      <x:c r="C4" s="18"/>
      <x:c r="D4" s="18"/>
      <x:c r="E4" s="21" t="str">
        <x:v>Konteks Eksekusi</x:v>
      </x:c>
      <x:c r="F4" s="21" t="str"/>
      <x:c r="G4" s="21" t="str"/>
      <x:c r="H4" s="21" t="str"/>
    </x:row>
    <x:row r="5">
      <x:c r="A5" s="20" t="str">
        <x:v>Total Kasus Uji</x:v>
      </x:c>
      <x:c r="B5" s="20" t="n">
        <x:f>COUNTA('Kasus Uji Regresi'!A5:A200)</x:f>
        <x:v>30</x:v>
      </x:c>
      <x:c r="C5" s="18"/>
      <x:c r="D5" s="18"/>
      <x:c r="E5" s="20" t="str">
        <x:v>Branch</x:v>
      </x:c>
      <x:c r="F5" s="20" t="str">
        <x:v>testcase/pengujian-pl</x:v>
      </x:c>
      <x:c r="G5" s="20" t="str"/>
      <x:c r="H5" s="20" t="str"/>
    </x:row>
    <x:row r="6">
      <x:c r="A6" s="20" t="str">
        <x:v>Lulus</x:v>
      </x:c>
      <x:c r="B6" s="20" t="n">
        <x:f>COUNTIF('Kasus Uji Regresi'!N5:N200,"Lulus")</x:f>
        <x:v>26</x:v>
      </x:c>
      <x:c r="C6" s="18"/>
      <x:c r="D6" s="18"/>
      <x:c r="E6" s="20" t="str">
        <x:v>Commit</x:v>
      </x:c>
      <x:c r="F6" s="20" t="str">
        <x:v>7976574</x:v>
      </x:c>
      <x:c r="G6" s="20" t="str"/>
      <x:c r="H6" s="20" t="str"/>
    </x:row>
    <x:row r="7">
      <x:c r="A7" s="20" t="str">
        <x:v>Gagal</x:v>
      </x:c>
      <x:c r="B7" s="20" t="n">
        <x:f>COUNTIF('Kasus Uji Regresi'!N5:N200,"Gagal")</x:f>
        <x:v>2</x:v>
      </x:c>
      <x:c r="C7" s="18"/>
      <x:c r="D7" s="18"/>
      <x:c r="E7" s="20" t="str">
        <x:v>Database</x:v>
      </x:c>
      <x:c r="F7" s="20" t="str">
        <x:v>MySQL dbs_gabara_testing</x:v>
      </x:c>
      <x:c r="G7" s="20" t="str"/>
      <x:c r="H7" s="20" t="str"/>
    </x:row>
    <x:row r="8">
      <x:c r="A8" s="20" t="str">
        <x:v>Terblokir</x:v>
      </x:c>
      <x:c r="B8" s="20" t="n">
        <x:f>COUNTIF('Kasus Uji Regresi'!N5:N200,"Terblokir")</x:f>
        <x:v>0</x:v>
      </x:c>
      <x:c r="C8" s="18"/>
      <x:c r="D8" s="18"/>
      <x:c r="E8" s="20" t="str">
        <x:v>Tanggal</x:v>
      </x:c>
      <x:c r="F8" s="20" t="str">
        <x:v>2026-06-07</x:v>
      </x:c>
      <x:c r="G8" s="20" t="str"/>
      <x:c r="H8" s="20" t="str"/>
    </x:row>
    <x:row r="9">
      <x:c r="A9" s="20" t="str">
        <x:v>Belum Dijalankan</x:v>
      </x:c>
      <x:c r="B9" s="20" t="n">
        <x:f>COUNTIF('Kasus Uji Regresi'!N5:N200,"Belum Dijalankan")</x:f>
        <x:v>2</x:v>
      </x:c>
      <x:c r="C9" s="18"/>
      <x:c r="D9" s="18"/>
      <x:c r="E9" s="20" t="str">
        <x:v>Status Kunci</x:v>
      </x:c>
      <x:c r="F9" s="20" t="str">
        <x:v>Penyelarasan kasus uji lama lulus; lint dan full PHPUnit masih memiliki cacat terbuka.</x:v>
      </x:c>
      <x:c r="G9" s="20" t="str"/>
      <x:c r="H9" s="20" t="str"/>
    </x:row>
    <x:row r="10">
      <x:c r="A10" s="20" t="str">
        <x:v>Sedang Berjalan</x:v>
      </x:c>
      <x:c r="B10" s="20" t="n">
        <x:f>COUNTIF('Kasus Uji Regresi'!N5:N200,"Sedang Berjalan")</x:f>
        <x:v>0</x:v>
      </x:c>
      <x:c r="C10" s="18"/>
      <x:c r="D10" s="18"/>
      <x:c r="E10" s="20" t="str">
        <x:v>Basis Templat</x:v>
      </x:c>
      <x:c r="F10" s="20" t="str">
        <x:v>Katalon regression starter kit: ruang lingkup, ketertelusuran, log eksekusi, log cacat, ringkasan.</x:v>
      </x:c>
      <x:c r="G10" s="20" t="str"/>
      <x:c r="H10" s="20" t="str"/>
    </x:row>
    <x:row r="11">
      <x:c r="A11" s="20" t="str">
        <x:v>Tingkat Kelulusan Eksekusi</x:v>
      </x:c>
      <x:c r="B11" s="22" t="n">
        <x:f>IF((B6+B7+B8)=0,0,B6/(B6+B7+B8))</x:f>
        <x:v>0.9285714285714286</x:v>
      </x:c>
      <x:c r="C11" s="18"/>
      <x:c r="D11" s="18"/>
      <x:c r="E11" s="20" t="str">
        <x:v>Catatan</x:v>
      </x:c>
      <x:c r="F11" s="20" t="str">
        <x:v>Workbook ini sudah dalam Bahasa Indonesia.</x:v>
      </x:c>
      <x:c r="G11" s="20" t="str"/>
      <x:c r="H11" s="20" t="str"/>
    </x:row>
    <x:row r="12">
      <x:c r="A12" s="20" t="str">
        <x:v>Cakupan Otomatisasi</x:v>
      </x:c>
      <x:c r="B12" s="22" t="n">
        <x:f>IF(B5=0,0,(COUNTIF('Kasus Uji Regresi'!Q5:Q200,"Otomatis")+COUNTIF('Kasus Uji Regresi'!Q5:Q200,"Otomatis CLI"))/B5)</x:f>
        <x:v>0.9333333333333333</x:v>
      </x:c>
      <x:c r="C12" s="18"/>
      <x:c r="D12" s="18"/>
      <x:c r="E12" s="20" t="str"/>
      <x:c r="F12" s="20" t="str"/>
      <x:c r="G12" s="20" t="str"/>
      <x:c r="H12" s="20" t="str"/>
    </x:row>
    <x:row r="13">
      <x:c r="A13" s="20" t="str">
        <x:v>Cacat Terbuka</x:v>
      </x:c>
      <x:c r="B13" s="23" t="n">
        <x:f>COUNTIF('Log Cacat'!E5:E100,"Terbuka")</x:f>
        <x:v>4</x:v>
      </x:c>
      <x:c r="C13" s="18"/>
      <x:c r="D13" s="18"/>
      <x:c r="E13" s="18"/>
      <x:c r="F13" s="18"/>
      <x:c r="G13" s="18"/>
      <x:c r="H13" s="18"/>
    </x:row>
    <x:row r="14">
      <x:c r="A14" s="20" t="str">
        <x:v>Cacat Prioritas Tinggi</x:v>
      </x:c>
      <x:c r="B14" s="23" t="n">
        <x:f>COUNTIFS('Log Cacat'!D5:D100,"Tinggi",'Log Cacat'!E5:E100,"Terbuka")</x:f>
        <x:v>2</x:v>
      </x:c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 ht="25.5" customHeight="1">
      <x:c r="A17" s="19" t="str">
        <x:v>Status</x:v>
      </x:c>
      <x:c r="B17" s="19" t="str">
        <x:v>Jumlah</x:v>
      </x:c>
      <x:c r="C17" s="19" t="str">
        <x:v>Warna</x:v>
      </x:c>
      <x:c r="D17" s="18"/>
      <x:c r="E17" s="18"/>
      <x:c r="F17" s="18"/>
      <x:c r="G17" s="18"/>
      <x:c r="H17" s="18"/>
    </x:row>
    <x:row r="18">
      <x:c r="A18" s="20" t="str">
        <x:v>Lulus</x:v>
      </x:c>
      <x:c r="B18" s="20" t="n">
        <x:f>B6</x:f>
        <x:v>26</x:v>
      </x:c>
      <x:c r="C18" s="20" t="str">
        <x:v>Hijau</x:v>
      </x:c>
      <x:c r="D18" s="18"/>
      <x:c r="E18" s="18"/>
      <x:c r="F18" s="18"/>
      <x:c r="G18" s="18"/>
      <x:c r="H18" s="18"/>
    </x:row>
    <x:row r="19">
      <x:c r="A19" s="20" t="str">
        <x:v>Gagal</x:v>
      </x:c>
      <x:c r="B19" s="20" t="n">
        <x:f>B7</x:f>
        <x:v>2</x:v>
      </x:c>
      <x:c r="C19" s="20" t="str">
        <x:v>Merah</x:v>
      </x:c>
      <x:c r="D19" s="18"/>
      <x:c r="E19" s="18"/>
      <x:c r="F19" s="18"/>
      <x:c r="G19" s="18"/>
      <x:c r="H19" s="18"/>
    </x:row>
    <x:row r="20">
      <x:c r="A20" s="20" t="str">
        <x:v>Terblokir</x:v>
      </x:c>
      <x:c r="B20" s="20" t="n">
        <x:f>B8</x:f>
        <x:v>0</x:v>
      </x:c>
      <x:c r="C20" s="20" t="str">
        <x:v>Kuning</x:v>
      </x:c>
      <x:c r="D20" s="18"/>
      <x:c r="E20" s="18"/>
      <x:c r="F20" s="18"/>
      <x:c r="G20" s="18"/>
      <x:c r="H20" s="18"/>
    </x:row>
    <x:row r="21">
      <x:c r="A21" s="20" t="str">
        <x:v>Belum Dijalankan</x:v>
      </x:c>
      <x:c r="B21" s="20" t="n">
        <x:f>B9</x:f>
        <x:v>2</x:v>
      </x:c>
      <x:c r="C21" s="20" t="str">
        <x:v>Amber</x:v>
      </x:c>
      <x:c r="D21" s="18"/>
      <x:c r="E21" s="18"/>
      <x:c r="F21" s="18"/>
      <x:c r="G21" s="18"/>
      <x:c r="H21" s="18"/>
    </x:row>
  </x:sheetData>
  <x:mergeCells>
    <x:mergeCell ref="A1:H1"/>
    <x:mergeCell ref="A2:H2"/>
  </x:mergeCells>
  <x:conditionalFormatting sqref="B7:B7">
    <x:cfRule type="cellIs" dxfId="7" priority="1" operator="greaterThan">
      <x:formula>0</x:formula>
    </x:cfRule>
  </x:conditionalFormatting>
  <x:conditionalFormatting sqref="B6:B6">
    <x:cfRule type="cellIs" dxfId="8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316799564da403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4" hidden="0" customWidth="1"/>
    <x:col min="4" max="4" width="18" hidden="0" customWidth="1"/>
    <x:col min="5" max="5" width="18" hidden="0" customWidth="1"/>
    <x:col min="6" max="6" width="12" hidden="0" customWidth="1"/>
    <x:col min="7" max="7" width="28" hidden="0" customWidth="1"/>
    <x:col min="8" max="8" width="12" hidden="0" customWidth="1"/>
    <x:col min="9" max="9" width="42" hidden="0" customWidth="1"/>
  </x:cols>
  <x:sheetData>
    <x:row r="1" ht="39" customHeight="1">
      <x:c r="A1" s="16" t="str">
        <x:v>Ruang Lingkup &amp; Prioritas Regresi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6" t="str"/>
    </x:row>
    <x:row r="2">
      <x:c r="A2" s="17" t="str">
        <x:v>Prioritas P1/P2/P3 membantu memilih suite seperti anjuran Katalon Regression Starter Kit.</x:v>
      </x:c>
      <x:c r="B2" s="17" t="str"/>
      <x:c r="C2" s="17" t="str"/>
      <x:c r="D2" s="17" t="str"/>
      <x:c r="E2" s="17" t="str"/>
      <x:c r="F2" s="17" t="str"/>
      <x:c r="G2" s="17" t="str"/>
      <x:c r="H2" s="17" t="str"/>
      <x:c r="I2" s="17" t="str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25.5" customHeight="1">
      <x:c r="A4" s="19" t="str">
        <x:v>ID Scope</x:v>
      </x:c>
      <x:c r="B4" s="19" t="str">
        <x:v>Area</x:v>
      </x:c>
      <x:c r="C4" s="19" t="str">
        <x:v>Pemicu Regresi</x:v>
      </x:c>
      <x:c r="D4" s="19" t="str">
        <x:v>Risiko Perubahan</x:v>
      </x:c>
      <x:c r="E4" s="19" t="str">
        <x:v>Dampak Bisnis</x:v>
      </x:c>
      <x:c r="F4" s="19" t="str">
        <x:v>Prioritas</x:v>
      </x:c>
      <x:c r="G4" s="19" t="str">
        <x:v>Suite Terpilih</x:v>
      </x:c>
      <x:c r="H4" s="19" t="str">
        <x:v>Dieksekusi</x:v>
      </x:c>
      <x:c r="I4" s="19" t="str">
        <x:v>Catatan</x:v>
      </x:c>
    </x:row>
    <x:row r="5">
      <x:c r="A5" s="20" t="str">
        <x:v>S-01</x:v>
      </x:c>
      <x:c r="B5" s="20" t="str">
        <x:v>Enrollment kelas</x:v>
      </x:c>
      <x:c r="C5" s="20" t="str">
        <x:v>Kode terkait enrollment disesuaikan dengan kasus uji lama.</x:v>
      </x:c>
      <x:c r="D5" s="20" t="str">
        <x:v>Tinggi</x:v>
      </x:c>
      <x:c r="E5" s="20" t="str">
        <x:v>Tinggi</x:v>
      </x:c>
      <x:c r="F5" s="20" t="str">
        <x:v>P1</x:v>
      </x:c>
      <x:c r="G5" s="20" t="str">
        <x:v>P1 Regresi Inti</x:v>
      </x:c>
      <x:c r="H5" s="20" t="str">
        <x:v>Ya</x:v>
      </x:c>
      <x:c r="I5" s="20" t="str">
        <x:v>Alur utama siswa.</x:v>
      </x:c>
    </x:row>
    <x:row r="6">
      <x:c r="A6" s="20" t="str">
        <x:v>S-02</x:v>
      </x:c>
      <x:c r="B6" s="20" t="str">
        <x:v>Assignment submission</x:v>
      </x:c>
      <x:c r="C6" s="20" t="str">
        <x:v>Validasi file, deadline, dan update submission.</x:v>
      </x:c>
      <x:c r="D6" s="20" t="str">
        <x:v>Tinggi</x:v>
      </x:c>
      <x:c r="E6" s="20" t="str">
        <x:v>Tinggi</x:v>
      </x:c>
      <x:c r="F6" s="20" t="str">
        <x:v>P1</x:v>
      </x:c>
      <x:c r="G6" s="20" t="str">
        <x:v>P1 Regresi Tugas</x:v>
      </x:c>
      <x:c r="H6" s="20" t="str">
        <x:v>Ya</x:v>
      </x:c>
      <x:c r="I6" s="20" t="str">
        <x:v>Workflow pembelajaran utama.</x:v>
      </x:c>
    </x:row>
    <x:row r="7">
      <x:c r="A7" s="20" t="str">
        <x:v>S-03</x:v>
      </x:c>
      <x:c r="B7" s="20" t="str">
        <x:v>Quiz</x:v>
      </x:c>
      <x:c r="C7" s="20" t="str">
        <x:v>Attempt, time window, scoring, dan akses user.</x:v>
      </x:c>
      <x:c r="D7" s="20" t="str">
        <x:v>Tinggi</x:v>
      </x:c>
      <x:c r="E7" s="20" t="str">
        <x:v>Tinggi</x:v>
      </x:c>
      <x:c r="F7" s="20" t="str">
        <x:v>P1</x:v>
      </x:c>
      <x:c r="G7" s="20" t="str">
        <x:v>P1 Regresi Kuis</x:v>
      </x:c>
      <x:c r="H7" s="20" t="str">
        <x:v>Ya</x:v>
      </x:c>
      <x:c r="I7" s="20" t="str">
        <x:v>Core evaluasi belajar.</x:v>
      </x:c>
    </x:row>
    <x:row r="8">
      <x:c r="A8" s="20" t="str">
        <x:v>S-04</x:v>
      </x:c>
      <x:c r="B8" s="20" t="str">
        <x:v>Route dan bootstrap</x:v>
      </x:c>
      <x:c r="C8" s="20" t="str">
        <x:v>Pemeriksaan CLI route list.</x:v>
      </x:c>
      <x:c r="D8" s="20" t="str">
        <x:v>Sedang</x:v>
      </x:c>
      <x:c r="E8" s="20" t="str">
        <x:v>Tinggi</x:v>
      </x:c>
      <x:c r="F8" s="20" t="str">
        <x:v>P1</x:v>
      </x:c>
      <x:c r="G8" s="20" t="str">
        <x:v>P1 Regresi Teknis</x:v>
      </x:c>
      <x:c r="H8" s="20" t="str">
        <x:v>Ya</x:v>
      </x:c>
      <x:c r="I8" s="20" t="str">
        <x:v>Smoke teknis aplikasi.</x:v>
      </x:c>
    </x:row>
    <x:row r="9">
      <x:c r="A9" s="20" t="str">
        <x:v>S-05</x:v>
      </x:c>
      <x:c r="B9" s="20" t="str">
        <x:v>Build frontend</x:v>
      </x:c>
      <x:c r="C9" s="20" t="str">
        <x:v>Vite production build dan ukuran asset.</x:v>
      </x:c>
      <x:c r="D9" s="20" t="str">
        <x:v>Sedang</x:v>
      </x:c>
      <x:c r="E9" s="20" t="str">
        <x:v>Sedang</x:v>
      </x:c>
      <x:c r="F9" s="20" t="str">
        <x:v>P2</x:v>
      </x:c>
      <x:c r="G9" s="20" t="str">
        <x:v>P2 Regresi Teknis</x:v>
      </x:c>
      <x:c r="H9" s="20" t="str">
        <x:v>Ya</x:v>
      </x:c>
      <x:c r="I9" s="20" t="str">
        <x:v>Quality gate sebelum demo/pengumpulan.</x:v>
      </x:c>
    </x:row>
    <x:row r="10">
      <x:c r="A10" s="20" t="str">
        <x:v>S-06</x:v>
      </x:c>
      <x:c r="B10" s="20" t="str">
        <x:v>Lint frontend</x:v>
      </x:c>
      <x:c r="C10" s="20" t="str">
        <x:v>ESLint config dan static analysis.</x:v>
      </x:c>
      <x:c r="D10" s="20" t="str">
        <x:v>Sedang</x:v>
      </x:c>
      <x:c r="E10" s="20" t="str">
        <x:v>Sedang</x:v>
      </x:c>
      <x:c r="F10" s="20" t="str">
        <x:v>P2</x:v>
      </x:c>
      <x:c r="G10" s="20" t="str">
        <x:v>P2 Regresi Teknis</x:v>
      </x:c>
      <x:c r="H10" s="20" t="str">
        <x:v>Ya</x:v>
      </x:c>
      <x:c r="I10" s="20" t="str">
        <x:v>Saat ini gagal dan masuk cacat log.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69db8ef4b4547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4" hidden="0" customWidth="1"/>
    <x:col min="4" max="4" width="28" hidden="0" customWidth="1"/>
    <x:col min="5" max="5" width="24" hidden="0" customWidth="1"/>
    <x:col min="6" max="6" width="24" hidden="0" customWidth="1"/>
    <x:col min="7" max="7" width="14" hidden="0" customWidth="1"/>
    <x:col min="8" max="8" width="42" hidden="0" customWidth="1"/>
    <x:col min="9" max="9" width="56" hidden="0" customWidth="1"/>
    <x:col min="10" max="10" width="28" hidden="0" customWidth="1"/>
    <x:col min="11" max="11" width="50" hidden="0" customWidth="1"/>
    <x:col min="12" max="12" width="50" hidden="0" customWidth="1"/>
    <x:col min="13" max="13" width="42" hidden="0" customWidth="1"/>
    <x:col min="14" max="14" width="18" hidden="0" customWidth="1"/>
    <x:col min="15" max="15" width="22" hidden="0" customWidth="1"/>
    <x:col min="16" max="16" width="18" hidden="0" customWidth="1"/>
    <x:col min="17" max="17" width="22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9" customHeight="1">
      <x:c r="A1" s="16" t="str">
        <x:v>Kasus Uji Regresi Gabara LMS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6" t="str"/>
      <x:c r="J1" s="16" t="str"/>
      <x:c r="K1" s="16" t="str"/>
      <x:c r="L1" s="16" t="str"/>
      <x:c r="M1" s="16" t="str"/>
      <x:c r="N1" s="16" t="str"/>
      <x:c r="O1" s="16" t="str"/>
      <x:c r="P1" s="16" t="str"/>
      <x:c r="Q1" s="16" t="str"/>
      <x:c r="R1" s="16" t="str"/>
      <x:c r="S1" s="16" t="str"/>
      <x:c r="T1" s="16" t="str"/>
    </x:row>
    <x:row r="2">
      <x:c r="A2" s="17" t="str">
        <x:v>Kolom disusun dari komponen kasus uji Katalon: ID, deskripsi, prasyarat, langkah, input, hasil harapan/aktual, lingkungan, status, dan detail cacat.</x:v>
      </x:c>
      <x:c r="B2" s="17" t="str"/>
      <x:c r="C2" s="17" t="str"/>
      <x:c r="D2" s="17" t="str"/>
      <x:c r="E2" s="17" t="str"/>
      <x:c r="F2" s="17" t="str"/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  <x:c r="T2" s="17" t="str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</x:row>
    <x:row r="4" ht="25.5" customHeight="1">
      <x:c r="A4" s="19" t="str">
        <x:v>ID Kasus Uji</x:v>
      </x:c>
      <x:c r="B4" s="19" t="str">
        <x:v>Nama Kasus Uji</x:v>
      </x:c>
      <x:c r="C4" s="19" t="str">
        <x:v>Deskripsi</x:v>
      </x:c>
      <x:c r="D4" s="19" t="str">
        <x:v>Suite Regresi</x:v>
      </x:c>
      <x:c r="E4" s="19" t="str">
        <x:v>Modul/Fitur</x:v>
      </x:c>
      <x:c r="F4" s="19" t="str">
        <x:v>Tipe Uji</x:v>
      </x:c>
      <x:c r="G4" s="19" t="str">
        <x:v>Prioritas</x:v>
      </x:c>
      <x:c r="H4" s="19" t="str">
        <x:v>Prasyarat</x:v>
      </x:c>
      <x:c r="I4" s="19" t="str">
        <x:v>Langkah Uji</x:v>
      </x:c>
      <x:c r="J4" s="19" t="str">
        <x:v>Data Input</x:v>
      </x:c>
      <x:c r="K4" s="19" t="str">
        <x:v>Hasil yang Diharapkan</x:v>
      </x:c>
      <x:c r="L4" s="19" t="str">
        <x:v>Hasil Aktual</x:v>
      </x:c>
      <x:c r="M4" s="19" t="str">
        <x:v>Lingkungan Uji</x:v>
      </x:c>
      <x:c r="N4" s="19" t="str">
        <x:v>Status Eksekusi</x:v>
      </x:c>
      <x:c r="O4" s="19" t="str">
        <x:v>Tingkat Keparahan Cacat</x:v>
      </x:c>
      <x:c r="P4" s="19" t="str">
        <x:v>Prioritas Cacat</x:v>
      </x:c>
      <x:c r="Q4" s="19" t="str">
        <x:v>Status Otomatisasi</x:v>
      </x:c>
      <x:c r="R4" s="19" t="str">
        <x:v>Tester</x:v>
      </x:c>
      <x:c r="S4" s="19" t="str">
        <x:v>Tanggal Eksekusi</x:v>
      </x:c>
      <x:c r="T4" s="19" t="str">
        <x:v>Catatan / Referensi</x:v>
      </x:c>
    </x:row>
    <x:row r="5">
      <x:c r="A5" s="20" t="str">
        <x:v>REG-ENROLL-001</x:v>
      </x:c>
      <x:c r="B5" s="20" t="str">
        <x:v>Enrollment dengan token valid</x:v>
      </x:c>
      <x:c r="C5" s="20" t="str">
        <x:v>Memastikan siswa dapat enroll ke kelas publik/valid sesuai kasus uji lama.</x:v>
      </x:c>
      <x:c r="D5" s="20" t="str">
        <x:v>P1 Regresi Inti</x:v>
      </x:c>
      <x:c r="E5" s="20" t="str">
        <x:v>Enrollment Kelas</x:v>
      </x:c>
      <x:c r="F5" s="20" t="str">
        <x:v>Fungsional / Regresi</x:v>
      </x:c>
      <x:c r="G5" s="20" t="str">
        <x:v>Tinggi</x:v>
      </x:c>
      <x:c r="H5" s="20" t="str">
        <x:v>User siswa aktif; token kelas valid tersedia.</x:v>
      </x:c>
      <x:c r="I5" s="20" t="str">
        <x:v>Login sebagai siswa. Buka halaman enroll. Masukkan token valid. Kirim form enrollment.</x:v>
      </x:c>
      <x:c r="J5" s="20" t="str">
        <x:v>Token kelas valid</x:v>
      </x:c>
      <x:c r="K5" s="20" t="str">
        <x:v>Sistem mendaftarkan siswa ke kelas dan menampilkan pesan berhasil.</x:v>
      </x:c>
      <x:c r="L5" s="20" t="str">
        <x:v>Lulus pada LegacyTestCaseAlignmentTest.</x:v>
      </x:c>
      <x:c r="M5" s="20" t="str">
        <x:v>Windows lokal; Laravel 12; React/Inertia; MySQL dbs_gabara_testing</x:v>
      </x:c>
      <x:c r="N5" s="20" t="str">
        <x:v>Lulus</x:v>
      </x:c>
      <x:c r="O5" s="20" t="str"/>
      <x:c r="P5" s="20" t="str"/>
      <x:c r="Q5" s="20" t="str">
        <x:v>Otomatis</x:v>
      </x:c>
      <x:c r="R5" s="20" t="str">
        <x:v>QA Gabara</x:v>
      </x:c>
      <x:c r="S5" s="20" t="str">
        <x:v>2026-06-07</x:v>
      </x:c>
      <x:c r="T5" s="20" t="str">
        <x:v>Selaras dengan kasus uji lama enrollment positif.</x:v>
      </x:c>
    </x:row>
    <x:row r="6">
      <x:c r="A6" s="20" t="str">
        <x:v>REG-ENROLL-002</x:v>
      </x:c>
      <x:c r="B6" s="20" t="str">
        <x:v>Enrollment dengan token tidak valid</x:v>
      </x:c>
      <x:c r="C6" s="20" t="str">
        <x:v>Memastikan token salah tidak dapat digunakan.</x:v>
      </x:c>
      <x:c r="D6" s="20" t="str">
        <x:v>P1 Regresi Inti</x:v>
      </x:c>
      <x:c r="E6" s="20" t="str">
        <x:v>Enrollment Kelas</x:v>
      </x:c>
      <x:c r="F6" s="20" t="str">
        <x:v>Regresi Negatif</x:v>
      </x:c>
      <x:c r="G6" s="20" t="str">
        <x:v>Tinggi</x:v>
      </x:c>
      <x:c r="H6" s="20" t="str">
        <x:v>User siswa aktif.</x:v>
      </x:c>
      <x:c r="I6" s="20" t="str">
        <x:v>Login sebagai siswa. Masukkan token acak/tidak terdaftar. Kirim form.</x:v>
      </x:c>
      <x:c r="J6" s="20" t="str">
        <x:v>Token tidak valid</x:v>
      </x:c>
      <x:c r="K6" s="20" t="str">
        <x:v>Sistem menolak enrollment dan menampilkan pesan token tidak valid.</x:v>
      </x:c>
      <x:c r="L6" s="20" t="str">
        <x:v>Lulus pada LegacyTestCaseAlignmentTest.</x:v>
      </x:c>
      <x:c r="M6" s="20" t="str">
        <x:v>Windows lokal; Laravel 12; React/Inertia; MySQL dbs_gabara_testing</x:v>
      </x:c>
      <x:c r="N6" s="20" t="str">
        <x:v>Lulus</x:v>
      </x:c>
      <x:c r="O6" s="20" t="str"/>
      <x:c r="P6" s="20" t="str"/>
      <x:c r="Q6" s="20" t="str">
        <x:v>Otomatis</x:v>
      </x:c>
      <x:c r="R6" s="20" t="str">
        <x:v>QA Gabara</x:v>
      </x:c>
      <x:c r="S6" s="20" t="str">
        <x:v>2026-06-07</x:v>
      </x:c>
      <x:c r="T6" s="20" t="str">
        <x:v>Skenario negatif dari kasus uji lama.</x:v>
      </x:c>
    </x:row>
    <x:row r="7">
      <x:c r="A7" s="20" t="str">
        <x:v>REG-ENROLL-003</x:v>
      </x:c>
      <x:c r="B7" s="20" t="str">
        <x:v>Enrollment kelas privat</x:v>
      </x:c>
      <x:c r="C7" s="20" t="str">
        <x:v>Memastikan kelas privat tidak dapat dimasuki melalui token publik.</x:v>
      </x:c>
      <x:c r="D7" s="20" t="str">
        <x:v>P1 Regresi Inti</x:v>
      </x:c>
      <x:c r="E7" s="20" t="str">
        <x:v>Enrollment Kelas</x:v>
      </x:c>
      <x:c r="F7" s="20" t="str">
        <x:v>Regresi Negatif</x:v>
      </x:c>
      <x:c r="G7" s="20" t="str">
        <x:v>Tinggi</x:v>
      </x:c>
      <x:c r="H7" s="20" t="str">
        <x:v>Kelas privat tersedia.</x:v>
      </x:c>
      <x:c r="I7" s="20" t="str">
        <x:v>Login sebagai siswa. Masukkan token kelas privat. Kirim form.</x:v>
      </x:c>
      <x:c r="J7" s="20" t="str">
        <x:v>Token kelas privat</x:v>
      </x:c>
      <x:c r="K7" s="20" t="str">
        <x:v>Sistem menolak enrollment kelas privat.</x:v>
      </x:c>
      <x:c r="L7" s="20" t="str">
        <x:v>Lulus pada LegacyTestCaseAlignmentTest.</x:v>
      </x:c>
      <x:c r="M7" s="20" t="str">
        <x:v>Windows lokal; Laravel 12; React/Inertia; MySQL dbs_gabara_testing</x:v>
      </x:c>
      <x:c r="N7" s="20" t="str">
        <x:v>Lulus</x:v>
      </x:c>
      <x:c r="O7" s="20" t="str"/>
      <x:c r="P7" s="20" t="str"/>
      <x:c r="Q7" s="20" t="str">
        <x:v>Otomatis</x:v>
      </x:c>
      <x:c r="R7" s="20" t="str">
        <x:v>QA Gabara</x:v>
      </x:c>
      <x:c r="S7" s="20" t="str">
        <x:v>2026-06-07</x:v>
      </x:c>
      <x:c r="T7" s="20" t="str">
        <x:v>Melindungi aturan akses kelas privat.</x:v>
      </x:c>
    </x:row>
    <x:row r="8">
      <x:c r="A8" s="20" t="str">
        <x:v>REG-ENROLL-004</x:v>
      </x:c>
      <x:c r="B8" s="20" t="str">
        <x:v>Enrollment duplikat</x:v>
      </x:c>
      <x:c r="C8" s="20" t="str">
        <x:v>Memastikan siswa yang sudah terdaftar tidak terdaftar dua kali.</x:v>
      </x:c>
      <x:c r="D8" s="20" t="str">
        <x:v>P1 Regresi Inti</x:v>
      </x:c>
      <x:c r="E8" s="20" t="str">
        <x:v>Enrollment Kelas</x:v>
      </x:c>
      <x:c r="F8" s="20" t="str">
        <x:v>Regresi Negatif</x:v>
      </x:c>
      <x:c r="G8" s="20" t="str">
        <x:v>Tinggi</x:v>
      </x:c>
      <x:c r="H8" s="20" t="str">
        <x:v>Siswa sudah terdaftar pada kelas target.</x:v>
      </x:c>
      <x:c r="I8" s="20" t="str">
        <x:v>Login sebagai siswa yang sudah enroll. Masukkan token kelas yang sama. Kirim form.</x:v>
      </x:c>
      <x:c r="J8" s="20" t="str">
        <x:v>Token kelas yang sama</x:v>
      </x:c>
      <x:c r="K8" s="20" t="str">
        <x:v>Sistem menolak enrollment duplikat dengan pesan yang sesuai.</x:v>
      </x:c>
      <x:c r="L8" s="20" t="str">
        <x:v>Lulus pada LegacyTestCaseAlignmentTest.</x:v>
      </x:c>
      <x:c r="M8" s="20" t="str">
        <x:v>Windows lokal; Laravel 12; React/Inertia; MySQL dbs_gabara_testing</x:v>
      </x:c>
      <x:c r="N8" s="20" t="str">
        <x:v>Lulus</x:v>
      </x:c>
      <x:c r="O8" s="20" t="str"/>
      <x:c r="P8" s="20" t="str"/>
      <x:c r="Q8" s="20" t="str">
        <x:v>Otomatis</x:v>
      </x:c>
      <x:c r="R8" s="20" t="str">
        <x:v>QA Gabara</x:v>
      </x:c>
      <x:c r="S8" s="20" t="str">
        <x:v>2026-06-07</x:v>
      </x:c>
      <x:c r="T8" s="20" t="str">
        <x:v>Menjaga integritas data enrollment.</x:v>
      </x:c>
    </x:row>
    <x:row r="9">
      <x:c r="A9" s="20" t="str">
        <x:v>REG-ENROLL-005</x:v>
      </x:c>
      <x:c r="B9" s="20" t="str">
        <x:v>Enrollment tanpa token</x:v>
      </x:c>
      <x:c r="C9" s="20" t="str">
        <x:v>Memastikan token wajib diisi.</x:v>
      </x:c>
      <x:c r="D9" s="20" t="str">
        <x:v>P1 Regresi Inti</x:v>
      </x:c>
      <x:c r="E9" s="20" t="str">
        <x:v>Enrollment Kelas</x:v>
      </x:c>
      <x:c r="F9" s="20" t="str">
        <x:v>Regresi Validasi</x:v>
      </x:c>
      <x:c r="G9" s="20" t="str">
        <x:v>Tinggi</x:v>
      </x:c>
      <x:c r="H9" s="20" t="str">
        <x:v>User siswa aktif.</x:v>
      </x:c>
      <x:c r="I9" s="20" t="str">
        <x:v>Login sebagai siswa. Kosongkan field token. Kirim form.</x:v>
      </x:c>
      <x:c r="J9" s="20" t="str">
        <x:v>Token kosong</x:v>
      </x:c>
      <x:c r="K9" s="20" t="str">
        <x:v>Validasi menolak input kosong.</x:v>
      </x:c>
      <x:c r="L9" s="20" t="str">
        <x:v>Lulus pada LegacyTestCaseAlignmentTest.</x:v>
      </x:c>
      <x:c r="M9" s="20" t="str">
        <x:v>Windows lokal; Laravel 12; React/Inertia; MySQL dbs_gabara_testing</x:v>
      </x:c>
      <x:c r="N9" s="20" t="str">
        <x:v>Lulus</x:v>
      </x:c>
      <x:c r="O9" s="20" t="str"/>
      <x:c r="P9" s="20" t="str"/>
      <x:c r="Q9" s="20" t="str">
        <x:v>Otomatis</x:v>
      </x:c>
      <x:c r="R9" s="20" t="str">
        <x:v>QA Gabara</x:v>
      </x:c>
      <x:c r="S9" s="20" t="str">
        <x:v>2026-06-07</x:v>
      </x:c>
      <x:c r="T9" s="20" t="str">
        <x:v>Validasi input dasar.</x:v>
      </x:c>
    </x:row>
    <x:row r="10">
      <x:c r="A10" s="20" t="str">
        <x:v>REG-ASSIGN-001</x:v>
      </x:c>
      <x:c r="B10" s="20" t="str">
        <x:v>Submission tugas wajib file</x:v>
      </x:c>
      <x:c r="C10" s="20" t="str">
        <x:v>Memastikan submission tanpa file ditolak.</x:v>
      </x:c>
      <x:c r="D10" s="20" t="str">
        <x:v>P1 Regresi Tugas</x:v>
      </x:c>
      <x:c r="E10" s="20" t="str">
        <x:v>Assignment Submission</x:v>
      </x:c>
      <x:c r="F10" s="20" t="str">
        <x:v>Regresi Validasi</x:v>
      </x:c>
      <x:c r="G10" s="20" t="str">
        <x:v>Tinggi</x:v>
      </x:c>
      <x:c r="H10" s="20" t="str">
        <x:v>Assignment aktif tersedia; siswa terdaftar.</x:v>
      </x:c>
      <x:c r="I10" s="20" t="str">
        <x:v>Login sebagai siswa. Buka detail tugas. Submit tanpa memilih file.</x:v>
      </x:c>
      <x:c r="J10" s="20" t="str">
        <x:v>File kosong</x:v>
      </x:c>
      <x:c r="K10" s="20" t="str">
        <x:v>Sistem mengembalikan error validasi file wajib.</x:v>
      </x:c>
      <x:c r="L10" s="20" t="str">
        <x:v>Lulus pada LegacyTestCaseAlignmentTest.</x:v>
      </x:c>
      <x:c r="M10" s="20" t="str">
        <x:v>Windows lokal; Laravel 12; React/Inertia; MySQL dbs_gabara_testing</x:v>
      </x:c>
      <x:c r="N10" s="20" t="str">
        <x:v>Lulus</x:v>
      </x:c>
      <x:c r="O10" s="20" t="str"/>
      <x:c r="P10" s="20" t="str"/>
      <x:c r="Q10" s="20" t="str">
        <x:v>Otomatis</x:v>
      </x:c>
      <x:c r="R10" s="20" t="str">
        <x:v>QA Gabara</x:v>
      </x:c>
      <x:c r="S10" s="20" t="str">
        <x:v>2026-06-07</x:v>
      </x:c>
      <x:c r="T10" s="20" t="str">
        <x:v>Menguji validasi required pada upload tugas.</x:v>
      </x:c>
    </x:row>
    <x:row r="11">
      <x:c r="A11" s="20" t="str">
        <x:v>REG-ASSIGN-002</x:v>
      </x:c>
      <x:c r="B11" s="20" t="str">
        <x:v>Submission file 0 KB</x:v>
      </x:c>
      <x:c r="C11" s="20" t="str">
        <x:v>Memastikan file kosong tidak diterima.</x:v>
      </x:c>
      <x:c r="D11" s="20" t="str">
        <x:v>P1 Regresi Tugas</x:v>
      </x:c>
      <x:c r="E11" s="20" t="str">
        <x:v>Assignment Submission</x:v>
      </x:c>
      <x:c r="F11" s="20" t="str">
        <x:v>Regresi Validasi</x:v>
      </x:c>
      <x:c r="G11" s="20" t="str">
        <x:v>Tinggi</x:v>
      </x:c>
      <x:c r="H11" s="20" t="str">
        <x:v>Assignment aktif tersedia.</x:v>
      </x:c>
      <x:c r="I11" s="20" t="str">
        <x:v>Upload file berukuran 0 KB pada form submission.</x:v>
      </x:c>
      <x:c r="J11" s="20" t="str">
        <x:v>File 0 KB</x:v>
      </x:c>
      <x:c r="K11" s="20" t="str">
        <x:v>Sistem menolak file kosong.</x:v>
      </x:c>
      <x:c r="L11" s="20" t="str">
        <x:v>Lulus pada LegacyTestCaseAlignmentTest.</x:v>
      </x:c>
      <x:c r="M11" s="20" t="str">
        <x:v>Windows lokal; Laravel 12; React/Inertia; MySQL dbs_gabara_testing</x:v>
      </x:c>
      <x:c r="N11" s="20" t="str">
        <x:v>Lulus</x:v>
      </x:c>
      <x:c r="O11" s="20" t="str"/>
      <x:c r="P11" s="20" t="str"/>
      <x:c r="Q11" s="20" t="str">
        <x:v>Otomatis</x:v>
      </x:c>
      <x:c r="R11" s="20" t="str">
        <x:v>QA Gabara</x:v>
      </x:c>
      <x:c r="S11" s="20" t="str">
        <x:v>2026-06-07</x:v>
      </x:c>
      <x:c r="T11" s="20" t="str">
        <x:v>Batas file upload.</x:v>
      </x:c>
    </x:row>
    <x:row r="12">
      <x:c r="A12" s="20" t="str">
        <x:v>REG-ASSIGN-003</x:v>
      </x:c>
      <x:c r="B12" s="20" t="str">
        <x:v>Submission mime type tidak valid</x:v>
      </x:c>
      <x:c r="C12" s="20" t="str">
        <x:v>Memastikan tipe file yang tidak diizinkan ditolak.</x:v>
      </x:c>
      <x:c r="D12" s="20" t="str">
        <x:v>P1 Regresi Tugas</x:v>
      </x:c>
      <x:c r="E12" s="20" t="str">
        <x:v>Assignment Submission</x:v>
      </x:c>
      <x:c r="F12" s="20" t="str">
        <x:v>Regresi Validasi</x:v>
      </x:c>
      <x:c r="G12" s="20" t="str">
        <x:v>Tinggi</x:v>
      </x:c>
      <x:c r="H12" s="20" t="str">
        <x:v>Assignment aktif tersedia.</x:v>
      </x:c>
      <x:c r="I12" s="20" t="str">
        <x:v>Upload file dengan ekstensi/tau MIME yang tidak diizinkan.</x:v>
      </x:c>
      <x:c r="J12" s="20" t="str">
        <x:v>File .exe atau file non dokumen</x:v>
      </x:c>
      <x:c r="K12" s="20" t="str">
        <x:v>Sistem menolak tipe file tersebut.</x:v>
      </x:c>
      <x:c r="L12" s="20" t="str">
        <x:v>Lulus pada LegacyTestCaseAlignmentTest.</x:v>
      </x:c>
      <x:c r="M12" s="20" t="str">
        <x:v>Windows lokal; Laravel 12; React/Inertia; MySQL dbs_gabara_testing</x:v>
      </x:c>
      <x:c r="N12" s="20" t="str">
        <x:v>Lulus</x:v>
      </x:c>
      <x:c r="O12" s="20" t="str"/>
      <x:c r="P12" s="20" t="str"/>
      <x:c r="Q12" s="20" t="str">
        <x:v>Otomatis</x:v>
      </x:c>
      <x:c r="R12" s="20" t="str">
        <x:v>QA Gabara</x:v>
      </x:c>
      <x:c r="S12" s="20" t="str">
        <x:v>2026-06-07</x:v>
      </x:c>
      <x:c r="T12" s="20" t="str">
        <x:v>Skenario negatif upload.</x:v>
      </x:c>
    </x:row>
    <x:row r="13">
      <x:c r="A13" s="20" t="str">
        <x:v>REG-ASSIGN-004</x:v>
      </x:c>
      <x:c r="B13" s="20" t="str">
        <x:v>Submission melewati batas ukuran</x:v>
      </x:c>
      <x:c r="C13" s="20" t="str">
        <x:v>Memastikan file di atas batas maksimum ditolak.</x:v>
      </x:c>
      <x:c r="D13" s="20" t="str">
        <x:v>P1 Regresi Tugas</x:v>
      </x:c>
      <x:c r="E13" s="20" t="str">
        <x:v>Assignment Submission</x:v>
      </x:c>
      <x:c r="F13" s="20" t="str">
        <x:v>Regresi Validasi</x:v>
      </x:c>
      <x:c r="G13" s="20" t="str">
        <x:v>Tinggi</x:v>
      </x:c>
      <x:c r="H13" s="20" t="str">
        <x:v>Assignment aktif tersedia.</x:v>
      </x:c>
      <x:c r="I13" s="20" t="str">
        <x:v>Upload file berukuran lebih dari batas maksimum yang ditetapkan sistem.</x:v>
      </x:c>
      <x:c r="J13" s="20" t="str">
        <x:v>File &gt; 15 MB</x:v>
      </x:c>
      <x:c r="K13" s="20" t="str">
        <x:v>Sistem menolak file karena ukuran melebihi batas.</x:v>
      </x:c>
      <x:c r="L13" s="20" t="str">
        <x:v>Lulus pada LegacyTestCaseAlignmentTest.</x:v>
      </x:c>
      <x:c r="M13" s="20" t="str">
        <x:v>Windows lokal; Laravel 12; React/Inertia; MySQL dbs_gabara_testing</x:v>
      </x:c>
      <x:c r="N13" s="20" t="str">
        <x:v>Lulus</x:v>
      </x:c>
      <x:c r="O13" s="20" t="str"/>
      <x:c r="P13" s="20" t="str"/>
      <x:c r="Q13" s="20" t="str">
        <x:v>Otomatis</x:v>
      </x:c>
      <x:c r="R13" s="20" t="str">
        <x:v>QA Gabara</x:v>
      </x:c>
      <x:c r="S13" s="20" t="str">
        <x:v>2026-06-07</x:v>
      </x:c>
      <x:c r="T13" s="20" t="str">
        <x:v>Batas file size.</x:v>
      </x:c>
    </x:row>
    <x:row r="14">
      <x:c r="A14" s="20" t="str">
        <x:v>REG-ASSIGN-005</x:v>
      </x:c>
      <x:c r="B14" s="20" t="str">
        <x:v>Submission setelah deadline</x:v>
      </x:c>
      <x:c r="C14" s="20" t="str">
        <x:v>Memastikan tugas tidak dapat dikumpulkan setelah batas waktu.</x:v>
      </x:c>
      <x:c r="D14" s="20" t="str">
        <x:v>P1 Regresi Tugas</x:v>
      </x:c>
      <x:c r="E14" s="20" t="str">
        <x:v>Assignment Submission</x:v>
      </x:c>
      <x:c r="F14" s="20" t="str">
        <x:v>Regresi Batas Waktu</x:v>
      </x:c>
      <x:c r="G14" s="20" t="str">
        <x:v>Tinggi</x:v>
      </x:c>
      <x:c r="H14" s="20" t="str">
        <x:v>Assignment memiliki due date yang sudah lewat.</x:v>
      </x:c>
      <x:c r="I14" s="20" t="str">
        <x:v>Login sebagai siswa. Buka tugas yang sudah lewat deadline. Coba submit file valid.</x:v>
      </x:c>
      <x:c r="J14" s="20" t="str">
        <x:v>File valid; deadline lampau</x:v>
      </x:c>
      <x:c r="K14" s="20" t="str">
        <x:v>Sistem menolak submission karena deadline berakhir.</x:v>
      </x:c>
      <x:c r="L14" s="20" t="str">
        <x:v>Lulus pada LegacyTestCaseAlignmentTest.</x:v>
      </x:c>
      <x:c r="M14" s="20" t="str">
        <x:v>Windows lokal; Laravel 12; React/Inertia; MySQL dbs_gabara_testing</x:v>
      </x:c>
      <x:c r="N14" s="20" t="str">
        <x:v>Lulus</x:v>
      </x:c>
      <x:c r="O14" s="20" t="str"/>
      <x:c r="P14" s="20" t="str"/>
      <x:c r="Q14" s="20" t="str">
        <x:v>Otomatis</x:v>
      </x:c>
      <x:c r="R14" s="20" t="str">
        <x:v>QA Gabara</x:v>
      </x:c>
      <x:c r="S14" s="20" t="str">
        <x:v>2026-06-07</x:v>
      </x:c>
      <x:c r="T14" s="20" t="str">
        <x:v>Perbaikan parsing deadline MySQL ikut tercakup.</x:v>
      </x:c>
    </x:row>
    <x:row r="15">
      <x:c r="A15" s="20" t="str">
        <x:v>REG-ASSIGN-006</x:v>
      </x:c>
      <x:c r="B15" s="20" t="str">
        <x:v>Submission file valid</x:v>
      </x:c>
      <x:c r="C15" s="20" t="str">
        <x:v>Memastikan file valid dapat dikumpulkan.</x:v>
      </x:c>
      <x:c r="D15" s="20" t="str">
        <x:v>P1 Regresi Tugas</x:v>
      </x:c>
      <x:c r="E15" s="20" t="str">
        <x:v>Assignment Submission</x:v>
      </x:c>
      <x:c r="F15" s="20" t="str">
        <x:v>Fungsional / Regresi</x:v>
      </x:c>
      <x:c r="G15" s="20" t="str">
        <x:v>Tinggi</x:v>
      </x:c>
      <x:c r="H15" s="20" t="str">
        <x:v>Assignment aktif dan belum deadline.</x:v>
      </x:c>
      <x:c r="I15" s="20" t="str">
        <x:v>Login sebagai siswa. Upload file PDF/DOCX valid. Submit.</x:v>
      </x:c>
      <x:c r="J15" s="20" t="str">
        <x:v>File valid</x:v>
      </x:c>
      <x:c r="K15" s="20" t="str">
        <x:v>Sistem menyimpan submission dan menampilkan pesan berhasil.</x:v>
      </x:c>
      <x:c r="L15" s="20" t="str">
        <x:v>Lulus pada LegacyTestCaseAlignmentTest.</x:v>
      </x:c>
      <x:c r="M15" s="20" t="str">
        <x:v>Windows lokal; Laravel 12; React/Inertia; MySQL dbs_gabara_testing</x:v>
      </x:c>
      <x:c r="N15" s="20" t="str">
        <x:v>Lulus</x:v>
      </x:c>
      <x:c r="O15" s="20" t="str"/>
      <x:c r="P15" s="20" t="str"/>
      <x:c r="Q15" s="20" t="str">
        <x:v>Otomatis</x:v>
      </x:c>
      <x:c r="R15" s="20" t="str">
        <x:v>QA Gabara</x:v>
      </x:c>
      <x:c r="S15" s="20" t="str">
        <x:v>2026-06-07</x:v>
      </x:c>
      <x:c r="T15" s="20" t="str">
        <x:v>Skenario positif tugas.</x:v>
      </x:c>
    </x:row>
    <x:row r="16">
      <x:c r="A16" s="20" t="str">
        <x:v>REG-ASSIGN-007</x:v>
      </x:c>
      <x:c r="B16" s="20" t="str">
        <x:v>Update submission sebelum deadline</x:v>
      </x:c>
      <x:c r="C16" s="20" t="str">
        <x:v>Memastikan siswa dapat mengganti file sebelum deadline.</x:v>
      </x:c>
      <x:c r="D16" s="20" t="str">
        <x:v>P2 Regresi Tugas</x:v>
      </x:c>
      <x:c r="E16" s="20" t="str">
        <x:v>Assignment Submission</x:v>
      </x:c>
      <x:c r="F16" s="20" t="str">
        <x:v>Fungsional / Regresi</x:v>
      </x:c>
      <x:c r="G16" s="20" t="str">
        <x:v>Sedang</x:v>
      </x:c>
      <x:c r="H16" s="20" t="str">
        <x:v>Submission awal sudah ada; deadline belum lewat.</x:v>
      </x:c>
      <x:c r="I16" s="20" t="str">
        <x:v>Login sebagai siswa. Buka submission. Upload file pengganti. Simpan.</x:v>
      </x:c>
      <x:c r="J16" s="20" t="str">
        <x:v>File pengganti valid</x:v>
      </x:c>
      <x:c r="K16" s="20" t="str">
        <x:v>Sistem mengganti file submission dan tetap menjaga histori data yang relevan.</x:v>
      </x:c>
      <x:c r="L16" s="20" t="str">
        <x:v>Lulus pada LegacyTestCaseAlignmentTest.</x:v>
      </x:c>
      <x:c r="M16" s="20" t="str">
        <x:v>Windows lokal; Laravel 12; React/Inertia; MySQL dbs_gabara_testing</x:v>
      </x:c>
      <x:c r="N16" s="20" t="str">
        <x:v>Lulus</x:v>
      </x:c>
      <x:c r="O16" s="20" t="str"/>
      <x:c r="P16" s="20" t="str"/>
      <x:c r="Q16" s="20" t="str">
        <x:v>Otomatis</x:v>
      </x:c>
      <x:c r="R16" s="20" t="str">
        <x:v>QA Gabara</x:v>
      </x:c>
      <x:c r="S16" s="20" t="str">
        <x:v>2026-06-07</x:v>
      </x:c>
      <x:c r="T16" s="20" t="str">
        <x:v>Regression update data tugas.</x:v>
      </x:c>
    </x:row>
    <x:row r="17">
      <x:c r="A17" s="20" t="str">
        <x:v>REG-ASSIGN-008</x:v>
      </x:c>
      <x:c r="B17" s="20" t="str">
        <x:v>Nilai tugas kurang dari minimum</x:v>
      </x:c>
      <x:c r="C17" s="20" t="str">
        <x:v>Memastikan nilai negatif ditolak.</x:v>
      </x:c>
      <x:c r="D17" s="20" t="str">
        <x:v>P1 Regresi Tugas</x:v>
      </x:c>
      <x:c r="E17" s="20" t="str">
        <x:v>Grading Assignment</x:v>
      </x:c>
      <x:c r="F17" s="20" t="str">
        <x:v>Regresi Validasi</x:v>
      </x:c>
      <x:c r="G17" s="20" t="str">
        <x:v>Tinggi</x:v>
      </x:c>
      <x:c r="H17" s="20" t="str">
        <x:v>Mentor/admin memiliki akses penilaian.</x:v>
      </x:c>
      <x:c r="I17" s="20" t="str">
        <x:v>Input nilai -1 pada submission siswa. Simpan penilaian.</x:v>
      </x:c>
      <x:c r="J17" s="20" t="str">
        <x:v>Nilai -1</x:v>
      </x:c>
      <x:c r="K17" s="20" t="str">
        <x:v>Sistem menolak nilai di bawah 0.</x:v>
      </x:c>
      <x:c r="L17" s="20" t="str">
        <x:v>Lulus pada LegacyTestCaseAlignmentTest.</x:v>
      </x:c>
      <x:c r="M17" s="20" t="str">
        <x:v>Windows lokal; Laravel 12; React/Inertia; MySQL dbs_gabara_testing</x:v>
      </x:c>
      <x:c r="N17" s="20" t="str">
        <x:v>Lulus</x:v>
      </x:c>
      <x:c r="O17" s="20" t="str"/>
      <x:c r="P17" s="20" t="str"/>
      <x:c r="Q17" s="20" t="str">
        <x:v>Otomatis</x:v>
      </x:c>
      <x:c r="R17" s="20" t="str">
        <x:v>QA Gabara</x:v>
      </x:c>
      <x:c r="S17" s="20" t="str">
        <x:v>2026-06-07</x:v>
      </x:c>
      <x:c r="T17" s="20" t="str">
        <x:v>Batas scoring bawah.</x:v>
      </x:c>
    </x:row>
    <x:row r="18">
      <x:c r="A18" s="20" t="str">
        <x:v>REG-ASSIGN-009</x:v>
      </x:c>
      <x:c r="B18" s="20" t="str">
        <x:v>Nilai tugas lebih dari maksimum</x:v>
      </x:c>
      <x:c r="C18" s="20" t="str">
        <x:v>Memastikan nilai di atas 100 ditolak.</x:v>
      </x:c>
      <x:c r="D18" s="20" t="str">
        <x:v>P1 Regresi Tugas</x:v>
      </x:c>
      <x:c r="E18" s="20" t="str">
        <x:v>Grading Assignment</x:v>
      </x:c>
      <x:c r="F18" s="20" t="str">
        <x:v>Regresi Validasi</x:v>
      </x:c>
      <x:c r="G18" s="20" t="str">
        <x:v>Tinggi</x:v>
      </x:c>
      <x:c r="H18" s="20" t="str">
        <x:v>Mentor/admin memiliki akses penilaian.</x:v>
      </x:c>
      <x:c r="I18" s="20" t="str">
        <x:v>Input nilai 101 pada submission siswa. Simpan penilaian.</x:v>
      </x:c>
      <x:c r="J18" s="20" t="str">
        <x:v>Nilai 101</x:v>
      </x:c>
      <x:c r="K18" s="20" t="str">
        <x:v>Sistem menolak nilai di atas 100.</x:v>
      </x:c>
      <x:c r="L18" s="20" t="str">
        <x:v>Lulus pada LegacyTestCaseAlignmentTest.</x:v>
      </x:c>
      <x:c r="M18" s="20" t="str">
        <x:v>Windows lokal; Laravel 12; React/Inertia; MySQL dbs_gabara_testing</x:v>
      </x:c>
      <x:c r="N18" s="20" t="str">
        <x:v>Lulus</x:v>
      </x:c>
      <x:c r="O18" s="20" t="str"/>
      <x:c r="P18" s="20" t="str"/>
      <x:c r="Q18" s="20" t="str">
        <x:v>Otomatis</x:v>
      </x:c>
      <x:c r="R18" s="20" t="str">
        <x:v>QA Gabara</x:v>
      </x:c>
      <x:c r="S18" s="20" t="str">
        <x:v>2026-06-07</x:v>
      </x:c>
      <x:c r="T18" s="20" t="str">
        <x:v>Batas scoring atas.</x:v>
      </x:c>
    </x:row>
    <x:row r="19">
      <x:c r="A19" s="20" t="str">
        <x:v>REG-ASSIGN-010</x:v>
      </x:c>
      <x:c r="B19" s="20" t="str">
        <x:v>Nilai tugas valid 0</x:v>
      </x:c>
      <x:c r="C19" s="20" t="str">
        <x:v>Memastikan nilai 0 diterima sebagai nilai valid.</x:v>
      </x:c>
      <x:c r="D19" s="20" t="str">
        <x:v>P2 Regresi Tugas</x:v>
      </x:c>
      <x:c r="E19" s="20" t="str">
        <x:v>Grading Assignment</x:v>
      </x:c>
      <x:c r="F19" s="20" t="str">
        <x:v>Regresi Batas Nilai</x:v>
      </x:c>
      <x:c r="G19" s="20" t="str">
        <x:v>Sedang</x:v>
      </x:c>
      <x:c r="H19" s="20" t="str">
        <x:v>Submission siswa tersedia.</x:v>
      </x:c>
      <x:c r="I19" s="20" t="str">
        <x:v>Input nilai 0 pada submission siswa. Simpan penilaian.</x:v>
      </x:c>
      <x:c r="J19" s="20" t="str">
        <x:v>Nilai 0</x:v>
      </x:c>
      <x:c r="K19" s="20" t="str">
        <x:v>Sistem menyimpan nilai 0 tanpa menganggapnya kosong.</x:v>
      </x:c>
      <x:c r="L19" s="20" t="str">
        <x:v>Belum dijalankan manual pada sesi ini.</x:v>
      </x:c>
      <x:c r="M19" s="20" t="str">
        <x:v>Windows lokal; Laravel 12; React/Inertia; MySQL dbs_gabara_testing</x:v>
      </x:c>
      <x:c r="N19" s="20" t="str">
        <x:v>Belum Dijalankan</x:v>
      </x:c>
      <x:c r="O19" s="20" t="str"/>
      <x:c r="P19" s="20" t="str"/>
      <x:c r="Q19" s="20" t="str">
        <x:v>Kandidat Manual</x:v>
      </x:c>
      <x:c r="R19" s="20" t="str">
        <x:v>QA Gabara</x:v>
      </x:c>
      <x:c r="S19" s="20" t="str"/>
      <x:c r="T19" s="20" t="str">
        <x:v>Direkomendasikan untuk konfirmasi manual bila UI membedakan 0 dan empty.</x:v>
      </x:c>
    </x:row>
    <x:row r="20">
      <x:c r="A20" s="20" t="str">
        <x:v>REG-ASSIGN-011</x:v>
      </x:c>
      <x:c r="B20" s="20" t="str">
        <x:v>Nilai tugas valid 100</x:v>
      </x:c>
      <x:c r="C20" s="20" t="str">
        <x:v>Memastikan nilai 100 diterima sebagai nilai maksimum.</x:v>
      </x:c>
      <x:c r="D20" s="20" t="str">
        <x:v>P2 Regresi Tugas</x:v>
      </x:c>
      <x:c r="E20" s="20" t="str">
        <x:v>Grading Assignment</x:v>
      </x:c>
      <x:c r="F20" s="20" t="str">
        <x:v>Regresi Batas Nilai</x:v>
      </x:c>
      <x:c r="G20" s="20" t="str">
        <x:v>Sedang</x:v>
      </x:c>
      <x:c r="H20" s="20" t="str">
        <x:v>Submission siswa tersedia.</x:v>
      </x:c>
      <x:c r="I20" s="20" t="str">
        <x:v>Input nilai 100 pada submission siswa. Simpan penilaian.</x:v>
      </x:c>
      <x:c r="J20" s="20" t="str">
        <x:v>Nilai 100</x:v>
      </x:c>
      <x:c r="K20" s="20" t="str">
        <x:v>Sistem menyimpan nilai 100.</x:v>
      </x:c>
      <x:c r="L20" s="20" t="str">
        <x:v>Lulus pada LegacyTestCaseAlignmentTest.</x:v>
      </x:c>
      <x:c r="M20" s="20" t="str">
        <x:v>Windows lokal; Laravel 12; React/Inertia; MySQL dbs_gabara_testing</x:v>
      </x:c>
      <x:c r="N20" s="20" t="str">
        <x:v>Lulus</x:v>
      </x:c>
      <x:c r="O20" s="20" t="str"/>
      <x:c r="P20" s="20" t="str"/>
      <x:c r="Q20" s="20" t="str">
        <x:v>Otomatis</x:v>
      </x:c>
      <x:c r="R20" s="20" t="str">
        <x:v>QA Gabara</x:v>
      </x:c>
      <x:c r="S20" s="20" t="str">
        <x:v>2026-06-07</x:v>
      </x:c>
      <x:c r="T20" s="20" t="str">
        <x:v>Batas scoring atas valid.</x:v>
      </x:c>
    </x:row>
    <x:row r="21">
      <x:c r="A21" s="20" t="str">
        <x:v>REG-QUIZ-001</x:v>
      </x:c>
      <x:c r="B21" s="20" t="str">
        <x:v>Quiz draft tidak dapat dikerjakan</x:v>
      </x:c>
      <x:c r="C21" s="20" t="str">
        <x:v>Memastikan quiz draft belum dapat diakses siswa.</x:v>
      </x:c>
      <x:c r="D21" s="20" t="str">
        <x:v>P1 Regresi Kuis</x:v>
      </x:c>
      <x:c r="E21" s="20" t="str">
        <x:v>Quiz</x:v>
      </x:c>
      <x:c r="F21" s="20" t="str">
        <x:v>Regresi Kontrol Akses</x:v>
      </x:c>
      <x:c r="G21" s="20" t="str">
        <x:v>Tinggi</x:v>
      </x:c>
      <x:c r="H21" s="20" t="str">
        <x:v>Quiz berstatus draft.</x:v>
      </x:c>
      <x:c r="I21" s="20" t="str">
        <x:v>Login sebagai siswa. Buka detail quiz draft. Klik mulai.</x:v>
      </x:c>
      <x:c r="J21" s="20" t="str">
        <x:v>Quiz draft</x:v>
      </x:c>
      <x:c r="K21" s="20" t="str">
        <x:v>Sistem menolak akses pengerjaan quiz draft.</x:v>
      </x:c>
      <x:c r="L21" s="20" t="str">
        <x:v>Lulus pada LegacyTestCaseAlignmentTest.</x:v>
      </x:c>
      <x:c r="M21" s="20" t="str">
        <x:v>Windows lokal; Laravel 12; React/Inertia; MySQL dbs_gabara_testing</x:v>
      </x:c>
      <x:c r="N21" s="20" t="str">
        <x:v>Lulus</x:v>
      </x:c>
      <x:c r="O21" s="20" t="str"/>
      <x:c r="P21" s="20" t="str"/>
      <x:c r="Q21" s="20" t="str">
        <x:v>Otomatis</x:v>
      </x:c>
      <x:c r="R21" s="20" t="str">
        <x:v>QA Gabara</x:v>
      </x:c>
      <x:c r="S21" s="20" t="str">
        <x:v>2026-06-07</x:v>
      </x:c>
      <x:c r="T21" s="20" t="str">
        <x:v>Menguji aturan publikasi quiz.</x:v>
      </x:c>
    </x:row>
    <x:row r="22">
      <x:c r="A22" s="20" t="str">
        <x:v>REG-QUIZ-002</x:v>
      </x:c>
      <x:c r="B22" s="20" t="str">
        <x:v>Quiz sebelum waktu buka</x:v>
      </x:c>
      <x:c r="C22" s="20" t="str">
        <x:v>Memastikan quiz belum dapat dikerjakan sebelum open time.</x:v>
      </x:c>
      <x:c r="D22" s="20" t="str">
        <x:v>P1 Regresi Kuis</x:v>
      </x:c>
      <x:c r="E22" s="20" t="str">
        <x:v>Quiz</x:v>
      </x:c>
      <x:c r="F22" s="20" t="str">
        <x:v>Regresi Batas Waktu</x:v>
      </x:c>
      <x:c r="G22" s="20" t="str">
        <x:v>Tinggi</x:v>
      </x:c>
      <x:c r="H22" s="20" t="str">
        <x:v>Quiz memiliki open time di masa depan.</x:v>
      </x:c>
      <x:c r="I22" s="20" t="str">
        <x:v>Login sebagai siswa. Coba mulai quiz sebelum waktunya.</x:v>
      </x:c>
      <x:c r="J22" s="20" t="str">
        <x:v>Open time masa depan</x:v>
      </x:c>
      <x:c r="K22" s="20" t="str">
        <x:v>Sistem menolak pengerjaan karena quiz belum dibuka.</x:v>
      </x:c>
      <x:c r="L22" s="20" t="str">
        <x:v>Lulus pada LegacyTestCaseAlignmentTest.</x:v>
      </x:c>
      <x:c r="M22" s="20" t="str">
        <x:v>Windows lokal; Laravel 12; React/Inertia; MySQL dbs_gabara_testing</x:v>
      </x:c>
      <x:c r="N22" s="20" t="str">
        <x:v>Lulus</x:v>
      </x:c>
      <x:c r="O22" s="20" t="str"/>
      <x:c r="P22" s="20" t="str"/>
      <x:c r="Q22" s="20" t="str">
        <x:v>Otomatis</x:v>
      </x:c>
      <x:c r="R22" s="20" t="str">
        <x:v>QA Gabara</x:v>
      </x:c>
      <x:c r="S22" s="20" t="str">
        <x:v>2026-06-07</x:v>
      </x:c>
      <x:c r="T22" s="20" t="str">
        <x:v>Batas waktu quiz.</x:v>
      </x:c>
    </x:row>
    <x:row r="23">
      <x:c r="A23" s="20" t="str">
        <x:v>REG-QUIZ-003</x:v>
      </x:c>
      <x:c r="B23" s="20" t="str">
        <x:v>Quiz setelah waktu tutup</x:v>
      </x:c>
      <x:c r="C23" s="20" t="str">
        <x:v>Memastikan quiz tidak dapat dikerjakan setelah close time.</x:v>
      </x:c>
      <x:c r="D23" s="20" t="str">
        <x:v>P1 Regresi Kuis</x:v>
      </x:c>
      <x:c r="E23" s="20" t="str">
        <x:v>Quiz</x:v>
      </x:c>
      <x:c r="F23" s="20" t="str">
        <x:v>Regresi Batas Waktu</x:v>
      </x:c>
      <x:c r="G23" s="20" t="str">
        <x:v>Tinggi</x:v>
      </x:c>
      <x:c r="H23" s="20" t="str">
        <x:v>Quiz memiliki close time yang sudah lewat.</x:v>
      </x:c>
      <x:c r="I23" s="20" t="str">
        <x:v>Login sebagai siswa. Coba mulai quiz setelah waktu tutup.</x:v>
      </x:c>
      <x:c r="J23" s="20" t="str">
        <x:v>Close time lampau</x:v>
      </x:c>
      <x:c r="K23" s="20" t="str">
        <x:v>Sistem menolak pengerjaan karena quiz sudah ditutup.</x:v>
      </x:c>
      <x:c r="L23" s="20" t="str">
        <x:v>Lulus pada LegacyTestCaseAlignmentTest.</x:v>
      </x:c>
      <x:c r="M23" s="20" t="str">
        <x:v>Windows lokal; Laravel 12; React/Inertia; MySQL dbs_gabara_testing</x:v>
      </x:c>
      <x:c r="N23" s="20" t="str">
        <x:v>Lulus</x:v>
      </x:c>
      <x:c r="O23" s="20" t="str"/>
      <x:c r="P23" s="20" t="str"/>
      <x:c r="Q23" s="20" t="str">
        <x:v>Otomatis</x:v>
      </x:c>
      <x:c r="R23" s="20" t="str">
        <x:v>QA Gabara</x:v>
      </x:c>
      <x:c r="S23" s="20" t="str">
        <x:v>2026-06-07</x:v>
      </x:c>
      <x:c r="T23" s="20" t="str">
        <x:v>Batas waktu quiz.</x:v>
      </x:c>
    </x:row>
    <x:row r="24">
      <x:c r="A24" s="20" t="str">
        <x:v>REG-QUIZ-004</x:v>
      </x:c>
      <x:c r="B24" s="20" t="str">
        <x:v>Quiz mencapai maksimum attempt</x:v>
      </x:c>
      <x:c r="C24" s="20" t="str">
        <x:v>Memastikan siswa tidak dapat melampaui batas attempt.</x:v>
      </x:c>
      <x:c r="D24" s="20" t="str">
        <x:v>P1 Regresi Kuis</x:v>
      </x:c>
      <x:c r="E24" s="20" t="str">
        <x:v>Quiz Attempt</x:v>
      </x:c>
      <x:c r="F24" s="20" t="str">
        <x:v>Regresi Validasi</x:v>
      </x:c>
      <x:c r="G24" s="20" t="str">
        <x:v>Tinggi</x:v>
      </x:c>
      <x:c r="H24" s="20" t="str">
        <x:v>Siswa sudah memiliki jumlah attempt maksimum.</x:v>
      </x:c>
      <x:c r="I24" s="20" t="str">
        <x:v>Login sebagai siswa. Coba mulai attempt baru.</x:v>
      </x:c>
      <x:c r="J24" s="20" t="str">
        <x:v>Attempt maksimum terpenuhi</x:v>
      </x:c>
      <x:c r="K24" s="20" t="str">
        <x:v>Sistem menolak attempt tambahan.</x:v>
      </x:c>
      <x:c r="L24" s="20" t="str">
        <x:v>Lulus pada LegacyTestCaseAlignmentTest.</x:v>
      </x:c>
      <x:c r="M24" s="20" t="str">
        <x:v>Windows lokal; Laravel 12; React/Inertia; MySQL dbs_gabara_testing</x:v>
      </x:c>
      <x:c r="N24" s="20" t="str">
        <x:v>Lulus</x:v>
      </x:c>
      <x:c r="O24" s="20" t="str"/>
      <x:c r="P24" s="20" t="str"/>
      <x:c r="Q24" s="20" t="str">
        <x:v>Otomatis</x:v>
      </x:c>
      <x:c r="R24" s="20" t="str">
        <x:v>QA Gabara</x:v>
      </x:c>
      <x:c r="S24" s="20" t="str">
        <x:v>2026-06-07</x:v>
      </x:c>
      <x:c r="T24" s="20" t="str">
        <x:v>Mencegah attempt berlebih.</x:v>
      </x:c>
    </x:row>
    <x:row r="25">
      <x:c r="A25" s="20" t="str">
        <x:v>REG-QUIZ-005</x:v>
      </x:c>
      <x:c r="B25" s="20" t="str">
        <x:v>Resume attempt in progress</x:v>
      </x:c>
      <x:c r="C25" s="20" t="str">
        <x:v>Memastikan attempt yang belum selesai dapat dilanjutkan.</x:v>
      </x:c>
      <x:c r="D25" s="20" t="str">
        <x:v>P1 Regresi Kuis</x:v>
      </x:c>
      <x:c r="E25" s="20" t="str">
        <x:v>Quiz Attempt</x:v>
      </x:c>
      <x:c r="F25" s="20" t="str">
        <x:v>Fungsional / Regresi</x:v>
      </x:c>
      <x:c r="G25" s="20" t="str">
        <x:v>Tinggi</x:v>
      </x:c>
      <x:c r="H25" s="20" t="str">
        <x:v>Ada attempt quiz berstatus in_progress.</x:v>
      </x:c>
      <x:c r="I25" s="20" t="str">
        <x:v>Login sebagai siswa. Buka quiz yang punya attempt berjalan. Klik lanjutkan.</x:v>
      </x:c>
      <x:c r="J25" s="20" t="str">
        <x:v>Attempt in_progress</x:v>
      </x:c>
      <x:c r="K25" s="20" t="str">
        <x:v>Sistem membuka attempt yang sama tanpa membuat attempt baru.</x:v>
      </x:c>
      <x:c r="L25" s="20" t="str">
        <x:v>Lulus pada LegacyTestCaseAlignmentTest.</x:v>
      </x:c>
      <x:c r="M25" s="20" t="str">
        <x:v>Windows lokal; Laravel 12; React/Inertia; MySQL dbs_gabara_testing</x:v>
      </x:c>
      <x:c r="N25" s="20" t="str">
        <x:v>Lulus</x:v>
      </x:c>
      <x:c r="O25" s="20" t="str"/>
      <x:c r="P25" s="20" t="str"/>
      <x:c r="Q25" s="20" t="str">
        <x:v>Otomatis</x:v>
      </x:c>
      <x:c r="R25" s="20" t="str">
        <x:v>QA Gabara</x:v>
      </x:c>
      <x:c r="S25" s="20" t="str">
        <x:v>2026-06-07</x:v>
      </x:c>
      <x:c r="T25" s="20" t="str">
        <x:v>Menjaga konsistensi attempt.</x:v>
      </x:c>
    </x:row>
    <x:row r="26">
      <x:c r="A26" s="20" t="str">
        <x:v>REG-QUIZ-006</x:v>
      </x:c>
      <x:c r="B26" s="20" t="str">
        <x:v>Skor quiz semua jawaban benar</x:v>
      </x:c>
      <x:c r="C26" s="20" t="str">
        <x:v>Memastikan perhitungan skor 100 ketika semua jawaban benar.</x:v>
      </x:c>
      <x:c r="D26" s="20" t="str">
        <x:v>P1 Regresi Kuis</x:v>
      </x:c>
      <x:c r="E26" s="20" t="str">
        <x:v>Quiz Scoring</x:v>
      </x:c>
      <x:c r="F26" s="20" t="str">
        <x:v>Regresi Perhitungan</x:v>
      </x:c>
      <x:c r="G26" s="20" t="str">
        <x:v>Tinggi</x:v>
      </x:c>
      <x:c r="H26" s="20" t="str">
        <x:v>Quiz berisi soal pilihan ganda dengan kunci jawaban.</x:v>
      </x:c>
      <x:c r="I26" s="20" t="str">
        <x:v>Kerjakan quiz dengan semua jawaban benar. Submit.</x:v>
      </x:c>
      <x:c r="J26" s="20" t="str">
        <x:v>Semua jawaban benar</x:v>
      </x:c>
      <x:c r="K26" s="20" t="str">
        <x:v>Sistem menghitung skor 100.</x:v>
      </x:c>
      <x:c r="L26" s="20" t="str">
        <x:v>Lulus pada LegacyTestCaseAlignmentTest.</x:v>
      </x:c>
      <x:c r="M26" s="20" t="str">
        <x:v>Windows lokal; Laravel 12; React/Inertia; MySQL dbs_gabara_testing</x:v>
      </x:c>
      <x:c r="N26" s="20" t="str">
        <x:v>Lulus</x:v>
      </x:c>
      <x:c r="O26" s="20" t="str"/>
      <x:c r="P26" s="20" t="str"/>
      <x:c r="Q26" s="20" t="str">
        <x:v>Otomatis</x:v>
      </x:c>
      <x:c r="R26" s="20" t="str">
        <x:v>QA Gabara</x:v>
      </x:c>
      <x:c r="S26" s="20" t="str">
        <x:v>2026-06-07</x:v>
      </x:c>
      <x:c r="T26" s="20" t="str">
        <x:v>Calculation positive case.</x:v>
      </x:c>
    </x:row>
    <x:row r="27">
      <x:c r="A27" s="20" t="str">
        <x:v>REG-QUIZ-007</x:v>
      </x:c>
      <x:c r="B27" s="20" t="str">
        <x:v>Skor quiz semua jawaban salah</x:v>
      </x:c>
      <x:c r="C27" s="20" t="str">
        <x:v>Memastikan perhitungan skor 0 ketika semua jawaban salah.</x:v>
      </x:c>
      <x:c r="D27" s="20" t="str">
        <x:v>P1 Regresi Kuis</x:v>
      </x:c>
      <x:c r="E27" s="20" t="str">
        <x:v>Quiz Scoring</x:v>
      </x:c>
      <x:c r="F27" s="20" t="str">
        <x:v>Regresi Perhitungan</x:v>
      </x:c>
      <x:c r="G27" s="20" t="str">
        <x:v>Tinggi</x:v>
      </x:c>
      <x:c r="H27" s="20" t="str">
        <x:v>Quiz berisi soal pilihan ganda dengan kunci jawaban.</x:v>
      </x:c>
      <x:c r="I27" s="20" t="str">
        <x:v>Kerjakan quiz dengan semua jawaban salah. Submit.</x:v>
      </x:c>
      <x:c r="J27" s="20" t="str">
        <x:v>Semua jawaban salah</x:v>
      </x:c>
      <x:c r="K27" s="20" t="str">
        <x:v>Sistem menghitung skor 0.</x:v>
      </x:c>
      <x:c r="L27" s="20" t="str">
        <x:v>Lulus pada LegacyTestCaseAlignmentTest.</x:v>
      </x:c>
      <x:c r="M27" s="20" t="str">
        <x:v>Windows lokal; Laravel 12; React/Inertia; MySQL dbs_gabara_testing</x:v>
      </x:c>
      <x:c r="N27" s="20" t="str">
        <x:v>Lulus</x:v>
      </x:c>
      <x:c r="O27" s="20" t="str"/>
      <x:c r="P27" s="20" t="str"/>
      <x:c r="Q27" s="20" t="str">
        <x:v>Otomatis</x:v>
      </x:c>
      <x:c r="R27" s="20" t="str">
        <x:v>QA Gabara</x:v>
      </x:c>
      <x:c r="S27" s="20" t="str">
        <x:v>2026-06-07</x:v>
      </x:c>
      <x:c r="T27" s="20" t="str">
        <x:v>Calculation negative case.</x:v>
      </x:c>
    </x:row>
    <x:row r="28">
      <x:c r="A28" s="20" t="str">
        <x:v>REG-QUIZ-008</x:v>
      </x:c>
      <x:c r="B28" s="20" t="str">
        <x:v>Jawaban essay null</x:v>
      </x:c>
      <x:c r="C28" s="20" t="str">
        <x:v>Memastikan jawaban essay kosong ditangani konsisten.</x:v>
      </x:c>
      <x:c r="D28" s="20" t="str">
        <x:v>P2 Regresi Kuis</x:v>
      </x:c>
      <x:c r="E28" s="20" t="str">
        <x:v>Quiz Essay</x:v>
      </x:c>
      <x:c r="F28" s="20" t="str">
        <x:v>Regresi Validasi</x:v>
      </x:c>
      <x:c r="G28" s="20" t="str">
        <x:v>Sedang</x:v>
      </x:c>
      <x:c r="H28" s="20" t="str">
        <x:v>Quiz memiliki soal essay.</x:v>
      </x:c>
      <x:c r="I28" s="20" t="str">
        <x:v>Submit quiz dengan jawaban essay kosong.</x:v>
      </x:c>
      <x:c r="J28" s="20" t="str">
        <x:v>Jawaban essay kosong/null</x:v>
      </x:c>
      <x:c r="K28" s="20" t="str">
        <x:v>Sistem menyimpan atau menandai jawaban kosong sesuai aturan tanpa error.</x:v>
      </x:c>
      <x:c r="L28" s="20" t="str">
        <x:v>Lulus pada LegacyTestCaseAlignmentTest.</x:v>
      </x:c>
      <x:c r="M28" s="20" t="str">
        <x:v>Windows lokal; Laravel 12; React/Inertia; MySQL dbs_gabara_testing</x:v>
      </x:c>
      <x:c r="N28" s="20" t="str">
        <x:v>Lulus</x:v>
      </x:c>
      <x:c r="O28" s="20" t="str"/>
      <x:c r="P28" s="20" t="str"/>
      <x:c r="Q28" s="20" t="str">
        <x:v>Otomatis</x:v>
      </x:c>
      <x:c r="R28" s="20" t="str">
        <x:v>QA Gabara</x:v>
      </x:c>
      <x:c r="S28" s="20" t="str">
        <x:v>2026-06-07</x:v>
      </x:c>
      <x:c r="T28" s="20" t="str">
        <x:v>Menutup edge case essay.</x:v>
      </x:c>
    </x:row>
    <x:row r="29">
      <x:c r="A29" s="20" t="str">
        <x:v>REG-QUIZ-009</x:v>
      </x:c>
      <x:c r="B29" s="20" t="str">
        <x:v>Siswa tidak terdaftar mengakses quiz kelas</x:v>
      </x:c>
      <x:c r="C29" s="20" t="str">
        <x:v>Memastikan user di luar kelas tidak dapat mengerjakan quiz.</x:v>
      </x:c>
      <x:c r="D29" s="20" t="str">
        <x:v>P2 Regresi Kuis</x:v>
      </x:c>
      <x:c r="E29" s="20" t="str">
        <x:v>Quiz Access</x:v>
      </x:c>
      <x:c r="F29" s="20" t="str">
        <x:v>Regresi Kontrol Akses</x:v>
      </x:c>
      <x:c r="G29" s="20" t="str">
        <x:v>Sedang</x:v>
      </x:c>
      <x:c r="H29" s="20" t="str">
        <x:v>User siswa aktif tetapi belum enroll pada kelas quiz.</x:v>
      </x:c>
      <x:c r="I29" s="20" t="str">
        <x:v>Login sebagai siswa tidak terdaftar. Buka URL quiz kelas. Coba mulai.</x:v>
      </x:c>
      <x:c r="J29" s="20" t="str">
        <x:v>User non-member kelas</x:v>
      </x:c>
      <x:c r="K29" s="20" t="str">
        <x:v>Sistem menolak akses quiz.</x:v>
      </x:c>
      <x:c r="L29" s="20" t="str">
        <x:v>Belum dijalankan manual pada sesi ini.</x:v>
      </x:c>
      <x:c r="M29" s="20" t="str">
        <x:v>Windows lokal; Laravel 12; React/Inertia; MySQL dbs_gabara_testing</x:v>
      </x:c>
      <x:c r="N29" s="20" t="str">
        <x:v>Belum Dijalankan</x:v>
      </x:c>
      <x:c r="O29" s="20" t="str"/>
      <x:c r="P29" s="20" t="str"/>
      <x:c r="Q29" s="20" t="str">
        <x:v>Kandidat Manual</x:v>
      </x:c>
      <x:c r="R29" s="20" t="str">
        <x:v>QA Gabara</x:v>
      </x:c>
      <x:c r="S29" s="20" t="str"/>
      <x:c r="T29" s="20" t="str">
        <x:v>Perlu verifikasi browser untuk memastikan UX error jelas.</x:v>
      </x:c>
    </x:row>
    <x:row r="30">
      <x:c r="A30" s="20" t="str">
        <x:v>REG-ROUTE-001</x:v>
      </x:c>
      <x:c r="B30" s="20" t="str">
        <x:v>Inventaris route aplikasi</x:v>
      </x:c>
      <x:c r="C30" s="20" t="str">
        <x:v>Memastikan route aplikasi dapat dilist tanpa error bootstrap.</x:v>
      </x:c>
      <x:c r="D30" s="20" t="str">
        <x:v>P1 Regresi Teknis</x:v>
      </x:c>
      <x:c r="E30" s="20" t="str">
        <x:v>Routing</x:v>
      </x:c>
      <x:c r="F30" s="20" t="str">
        <x:v>Regresi Inti</x:v>
      </x:c>
      <x:c r="G30" s="20" t="str">
        <x:v>Tinggi</x:v>
      </x:c>
      <x:c r="H30" s="20" t="str">
        <x:v>Dependency Composer tersedia.</x:v>
      </x:c>
      <x:c r="I30" s="20" t="str">
        <x:v>Jalankan php artisan route:list --except-vendor.</x:v>
      </x:c>
      <x:c r="J30" s="20" t="str">
        <x:v>Command route:list</x:v>
      </x:c>
      <x:c r="K30" s="20" t="str">
        <x:v>Daftar route tampil tanpa exception.</x:v>
      </x:c>
      <x:c r="L30" s="20" t="str">
        <x:v>68 route berhasil dilist.</x:v>
      </x:c>
      <x:c r="M30" s="20" t="str">
        <x:v>Windows lokal; Laravel 12; React/Inertia; MySQL dbs_gabara_testing</x:v>
      </x:c>
      <x:c r="N30" s="20" t="str">
        <x:v>Lulus</x:v>
      </x:c>
      <x:c r="O30" s="20" t="str"/>
      <x:c r="P30" s="20" t="str"/>
      <x:c r="Q30" s="20" t="str">
        <x:v>Otomatis CLI</x:v>
      </x:c>
      <x:c r="R30" s="20" t="str">
        <x:v>QA Gabara</x:v>
      </x:c>
      <x:c r="S30" s="20" t="str">
        <x:v>2026-06-07</x:v>
      </x:c>
      <x:c r="T30" s="20" t="str">
        <x:v>Bukti bootstrap Laravel sehat.</x:v>
      </x:c>
    </x:row>
    <x:row r="31">
      <x:c r="A31" s="20" t="str">
        <x:v>REG-BUILD-001</x:v>
      </x:c>
      <x:c r="B31" s="20" t="str">
        <x:v>Build frontend production</x:v>
      </x:c>
      <x:c r="C31" s="20" t="str">
        <x:v>Memastikan asset frontend dapat dibuild.</x:v>
      </x:c>
      <x:c r="D31" s="20" t="str">
        <x:v>P1 Regresi Teknis</x:v>
      </x:c>
      <x:c r="E31" s="20" t="str">
        <x:v>Frontend Build</x:v>
      </x:c>
      <x:c r="F31" s="20" t="str">
        <x:v>Regresi Build</x:v>
      </x:c>
      <x:c r="G31" s="20" t="str">
        <x:v>Tinggi</x:v>
      </x:c>
      <x:c r="H31" s="20" t="str">
        <x:v>Dependency npm tersedia.</x:v>
      </x:c>
      <x:c r="I31" s="20" t="str">
        <x:v>Jalankan npm.cmd run build.</x:v>
      </x:c>
      <x:c r="J31" s="20" t="str">
        <x:v>Vite production build</x:v>
      </x:c>
      <x:c r="K31" s="20" t="str">
        <x:v>Build selesai tanpa error.</x:v>
      </x:c>
      <x:c r="L31" s="20" t="str">
        <x:v>Lulus; 4061 modules transformed; build 8,73s; ada warning chunk besar.</x:v>
      </x:c>
      <x:c r="M31" s="20" t="str">
        <x:v>Windows lokal; Laravel 12; React/Inertia; MySQL dbs_gabara_testing</x:v>
      </x:c>
      <x:c r="N31" s="20" t="str">
        <x:v>Lulus</x:v>
      </x:c>
      <x:c r="O31" s="20" t="str"/>
      <x:c r="P31" s="20" t="str"/>
      <x:c r="Q31" s="20" t="str">
        <x:v>Otomatis CLI</x:v>
      </x:c>
      <x:c r="R31" s="20" t="str">
        <x:v>QA Gabara</x:v>
      </x:c>
      <x:c r="S31" s="20" t="str">
        <x:v>2026-06-07</x:v>
      </x:c>
      <x:c r="T31" s="20" t="str">
        <x:v>Warning chunk dicatat di performance report.</x:v>
      </x:c>
    </x:row>
    <x:row r="32">
      <x:c r="A32" s="20" t="str">
        <x:v>REG-PERF-001</x:v>
      </x:c>
      <x:c r="B32" s="20" t="str">
        <x:v>Observasi ukuran bundle ClassDetail</x:v>
      </x:c>
      <x:c r="C32" s="20" t="str">
        <x:v>Mencatat risiko performance dari bundle besar pada build.</x:v>
      </x:c>
      <x:c r="D32" s="20" t="str">
        <x:v>P2 Regresi Teknis</x:v>
      </x:c>
      <x:c r="E32" s="20" t="str">
        <x:v>Frontend Performance</x:v>
      </x:c>
      <x:c r="F32" s="20" t="str">
        <x:v>Regresi Performa</x:v>
      </x:c>
      <x:c r="G32" s="20" t="str">
        <x:v>Sedang</x:v>
      </x:c>
      <x:c r="H32" s="20" t="str">
        <x:v>Build production berhasil.</x:v>
      </x:c>
      <x:c r="I32" s="20" t="str">
        <x:v>Tinjau output build Vite dan ukuran gzip chunk utama.</x:v>
      </x:c>
      <x:c r="J32" s="20" t="str">
        <x:v>Output npm build</x:v>
      </x:c>
      <x:c r="K32" s="20" t="str">
        <x:v>Tidak ada error build; risiko ukuran bundle terdokumentasi.</x:v>
      </x:c>
      <x:c r="L32" s="20" t="str">
        <x:v>Lulus dengan catatan chunk ClassDetail 610,38 kB.</x:v>
      </x:c>
      <x:c r="M32" s="20" t="str">
        <x:v>Windows lokal; Laravel 12; React/Inertia; MySQL dbs_gabara_testing</x:v>
      </x:c>
      <x:c r="N32" s="20" t="str">
        <x:v>Lulus</x:v>
      </x:c>
      <x:c r="O32" s="20" t="str"/>
      <x:c r="P32" s="20" t="str"/>
      <x:c r="Q32" s="20" t="str">
        <x:v>Otomatis CLI</x:v>
      </x:c>
      <x:c r="R32" s="20" t="str">
        <x:v>QA Gabara</x:v>
      </x:c>
      <x:c r="S32" s="20" t="str">
        <x:v>2026-06-07</x:v>
      </x:c>
      <x:c r="T32" s="20" t="str">
        <x:v>Perlu optimasi lanjutan bila target performa ketat.</x:v>
      </x:c>
    </x:row>
    <x:row r="33">
      <x:c r="A33" s="20" t="str">
        <x:v>REG-LINT-001</x:v>
      </x:c>
      <x:c r="B33" s="20" t="str">
        <x:v>Lint frontend</x:v>
      </x:c>
      <x:c r="C33" s="20" t="str">
        <x:v>Memastikan static analysis frontend berjalan.</x:v>
      </x:c>
      <x:c r="D33" s="20" t="str">
        <x:v>P2 Regresi Teknis</x:v>
      </x:c>
      <x:c r="E33" s="20" t="str">
        <x:v>Frontend Lint</x:v>
      </x:c>
      <x:c r="F33" s="20" t="str">
        <x:v>Regresi Analisis Statis</x:v>
      </x:c>
      <x:c r="G33" s="20" t="str">
        <x:v>Sedang</x:v>
      </x:c>
      <x:c r="H33" s="20" t="str">
        <x:v>Dependency npm tersedia.</x:v>
      </x:c>
      <x:c r="I33" s="20" t="str">
        <x:v>Jalankan npm.cmd run lint.</x:v>
      </x:c>
      <x:c r="J33" s="20" t="str">
        <x:v>ESLint config</x:v>
      </x:c>
      <x:c r="K33" s="20" t="str">
        <x:v>Lint selesai tanpa configuration error.</x:v>
      </x:c>
      <x:c r="L33" s="20" t="str">
        <x:v>Gagal: ConfigError plugin react-hooks didefinisikan ulang.</x:v>
      </x:c>
      <x:c r="M33" s="20" t="str">
        <x:v>Windows lokal; Laravel 12; React/Inertia; MySQL dbs_gabara_testing</x:v>
      </x:c>
      <x:c r="N33" s="20" t="str">
        <x:v>Gagal</x:v>
      </x:c>
      <x:c r="O33" s="20" t="str">
        <x:v>Sedang</x:v>
      </x:c>
      <x:c r="P33" s="20" t="str">
        <x:v>Tinggi</x:v>
      </x:c>
      <x:c r="Q33" s="20" t="str">
        <x:v>Otomatis CLI</x:v>
      </x:c>
      <x:c r="R33" s="20" t="str">
        <x:v>QA Gabara</x:v>
      </x:c>
      <x:c r="S33" s="20" t="str">
        <x:v>2026-06-07</x:v>
      </x:c>
      <x:c r="T33" s="20" t="str">
        <x:v>Cacat REG-02.</x:v>
      </x:c>
    </x:row>
    <x:row r="34">
      <x:c r="A34" s="20" t="str">
        <x:v>REG-FULL-001</x:v>
      </x:c>
      <x:c r="B34" s="20" t="str">
        <x:v>Full automated PHPUnit regression</x:v>
      </x:c>
      <x:c r="C34" s="20" t="str">
        <x:v>Memastikan seluruh suite otomatis backend bersih.</x:v>
      </x:c>
      <x:c r="D34" s="20" t="str">
        <x:v>P1 Regresi Teknis</x:v>
      </x:c>
      <x:c r="E34" s="20" t="str">
        <x:v>Automated Test Suite</x:v>
      </x:c>
      <x:c r="F34" s="20" t="str">
        <x:v>Suite Regresi</x:v>
      </x:c>
      <x:c r="G34" s="20" t="str">
        <x:v>Tinggi</x:v>
      </x:c>
      <x:c r="H34" s="20" t="str">
        <x:v>Database MySQL testing tersedia.</x:v>
      </x:c>
      <x:c r="I34" s="20" t="str">
        <x:v>Jalankan php artisan test.</x:v>
      </x:c>
      <x:c r="J34" s="20" t="str">
        <x:v>Full PHPUnit suite</x:v>
      </x:c>
      <x:c r="K34" s="20" t="str">
        <x:v>Seluruh test lulus.</x:v>
      </x:c>
      <x:c r="L34" s="20" t="str">
        <x:v>Gagal: 30 passed, 13 failed pada test historis di luar alignment baru.</x:v>
      </x:c>
      <x:c r="M34" s="20" t="str">
        <x:v>Windows lokal; Laravel 12; React/Inertia; MySQL dbs_gabara_testing</x:v>
      </x:c>
      <x:c r="N34" s="20" t="str">
        <x:v>Gagal</x:v>
      </x:c>
      <x:c r="O34" s="20" t="str">
        <x:v>Tinggi</x:v>
      </x:c>
      <x:c r="P34" s="20" t="str">
        <x:v>Tinggi</x:v>
      </x:c>
      <x:c r="Q34" s="20" t="str">
        <x:v>Otomatis CLI</x:v>
      </x:c>
      <x:c r="R34" s="20" t="str">
        <x:v>QA Gabara</x:v>
      </x:c>
      <x:c r="S34" s="20" t="str">
        <x:v>2026-06-07</x:v>
      </x:c>
      <x:c r="T34" s="20" t="str">
        <x:v>Cacat REG-01.</x:v>
      </x:c>
    </x:row>
  </x:sheetData>
  <x:mergeCells>
    <x:mergeCell ref="A1:T1"/>
    <x:mergeCell ref="A2:T2"/>
  </x:mergeCells>
  <x:conditionalFormatting sqref="N5:N34">
    <x:cfRule type="containsText" dxfId="0" priority="1" operator="containsText" text="Lulus"/>
    <x:cfRule type="containsText" dxfId="1" priority="2" operator="containsText" text="Gagal"/>
    <x:cfRule type="containsText" dxfId="2" priority="3" operator="containsText" text="Belum Dijalankan"/>
  </x:conditionalFormatting>
  <x:dataValidations count="4">
    <x:dataValidation type="list" sqref="N5:N34">
      <x:formula1>"Lulus,Gagal,Terblokir,Belum Dijalankan,Sedang Berjalan"</x:formula1>
    </x:dataValidation>
    <x:dataValidation type="list" sqref="G5:G34">
      <x:formula1>"Tinggi,Sedang,Rendah"</x:formula1>
    </x:dataValidation>
    <x:dataValidation type="list" sqref="O5:P34">
      <x:formula1>"Tinggi,Sedang,Rendah"</x:formula1>
    </x:dataValidation>
    <x:dataValidation type="list" sqref="Q5:Q34">
      <x:formula1>"Otomatis,Otomatis CLI,Kandidat 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e54c47d70346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74" hidden="0" customWidth="1"/>
    <x:col min="4" max="4" width="20" hidden="0" customWidth="1"/>
    <x:col min="5" max="5" width="22" hidden="0" customWidth="1"/>
    <x:col min="6" max="6" width="58" hidden="0" customWidth="1"/>
  </x:cols>
  <x:sheetData>
    <x:row r="1" ht="39" customHeight="1">
      <x:c r="A1" s="16" t="str">
        <x:v>Matriks Ketertelusuran</x:v>
      </x:c>
      <x:c r="B1" s="16" t="str"/>
      <x:c r="C1" s="16" t="str"/>
      <x:c r="D1" s="16" t="str"/>
      <x:c r="E1" s="16" t="str"/>
      <x:c r="F1" s="16" t="str"/>
    </x:row>
    <x:row r="2">
      <x:c r="A2" s="17" t="str">
        <x:v>Menghubungkan kebutuhan/area bisnis ke kasus uji, hasil eksekusi, dan catatan risiko.</x:v>
      </x:c>
      <x:c r="B2" s="17" t="str"/>
      <x:c r="C2" s="17" t="str"/>
      <x:c r="D2" s="17" t="str"/>
      <x:c r="E2" s="17" t="str"/>
      <x:c r="F2" s="17" t="str"/>
    </x:row>
    <x:row r="3">
      <x:c r="A3" s="18"/>
      <x:c r="B3" s="18"/>
      <x:c r="C3" s="18"/>
      <x:c r="D3" s="18"/>
      <x:c r="E3" s="18"/>
      <x:c r="F3" s="18"/>
    </x:row>
    <x:row r="4" ht="25.5" customHeight="1">
      <x:c r="A4" s="19" t="str">
        <x:v>ID Kebutuhan</x:v>
      </x:c>
      <x:c r="B4" s="19" t="str">
        <x:v>Area/Fitur</x:v>
      </x:c>
      <x:c r="C4" s="19" t="str">
        <x:v>Kasus Uji Terkait</x:v>
      </x:c>
      <x:c r="D4" s="19" t="str">
        <x:v>Cakupan</x:v>
      </x:c>
      <x:c r="E4" s="19" t="str">
        <x:v>Status Hasil</x:v>
      </x:c>
      <x:c r="F4" s="19" t="str">
        <x:v>Catatan</x:v>
      </x:c>
    </x:row>
    <x:row r="5">
      <x:c r="A5" s="20" t="str">
        <x:v>REQ-ENROLL</x:v>
      </x:c>
      <x:c r="B5" s="20" t="str">
        <x:v>Enrollment kelas</x:v>
      </x:c>
      <x:c r="C5" s="20" t="str">
        <x:v>REG-ENROLL-001, REG-ENROLL-002, REG-ENROLL-003, REG-ENROLL-004, REG-ENROLL-005</x:v>
      </x:c>
      <x:c r="D5" s="20" t="str">
        <x:v>Tercakup</x:v>
      </x:c>
      <x:c r="E5" s="20" t="str">
        <x:v>Lulus</x:v>
      </x:c>
      <x:c r="F5" s="20" t="str">
        <x:v>Menjaga akses siswa ke kelas dan validasi token.</x:v>
      </x:c>
    </x:row>
    <x:row r="6">
      <x:c r="A6" s="20" t="str">
        <x:v>REQ-ASSIGN</x:v>
      </x:c>
      <x:c r="B6" s="20" t="str">
        <x:v>Submission dan grading tugas</x:v>
      </x:c>
      <x:c r="C6" s="20" t="str">
        <x:v>REG-ASSIGN-001 s.d. REG-ASSIGN-011</x:v>
      </x:c>
      <x:c r="D6" s="20" t="str">
        <x:v>Tercakup sebagian</x:v>
      </x:c>
      <x:c r="E6" s="20" t="str">
        <x:v>Mayoritas Lulus</x:v>
      </x:c>
      <x:c r="F6" s="20" t="str">
        <x:v>Dua boundary manual direkomendasikan untuk konfirmasi UI.</x:v>
      </x:c>
    </x:row>
    <x:row r="7">
      <x:c r="A7" s="20" t="str">
        <x:v>REQ-QUIZ</x:v>
      </x:c>
      <x:c r="B7" s="20" t="str">
        <x:v>Quiz attempt dan scoring</x:v>
      </x:c>
      <x:c r="C7" s="20" t="str">
        <x:v>REG-QUIZ-001 s.d. REG-QUIZ-009</x:v>
      </x:c>
      <x:c r="D7" s="20" t="str">
        <x:v>Tercakup sebagian</x:v>
      </x:c>
      <x:c r="E7" s="20" t="str">
        <x:v>Mayoritas Lulus</x:v>
      </x:c>
      <x:c r="F7" s="20" t="str">
        <x:v>Satu access control manual direkomendasikan untuk verifikasi UX.</x:v>
      </x:c>
    </x:row>
    <x:row r="8">
      <x:c r="A8" s="20" t="str">
        <x:v>REQ-ROUTE</x:v>
      </x:c>
      <x:c r="B8" s="20" t="str">
        <x:v>Bootstrap route Laravel</x:v>
      </x:c>
      <x:c r="C8" s="20" t="str">
        <x:v>REG-ROUTE-001</x:v>
      </x:c>
      <x:c r="D8" s="20" t="str">
        <x:v>Tercakup</x:v>
      </x:c>
      <x:c r="E8" s="20" t="str">
        <x:v>Lulus</x:v>
      </x:c>
      <x:c r="F8" s="20" t="str">
        <x:v>Route list berhasil.</x:v>
      </x:c>
    </x:row>
    <x:row r="9">
      <x:c r="A9" s="20" t="str">
        <x:v>REQ-BUILD</x:v>
      </x:c>
      <x:c r="B9" s="20" t="str">
        <x:v>Build frontend</x:v>
      </x:c>
      <x:c r="C9" s="20" t="str">
        <x:v>REG-BUILD-001, REG-PERF-001</x:v>
      </x:c>
      <x:c r="D9" s="20" t="str">
        <x:v>Tercakup</x:v>
      </x:c>
      <x:c r="E9" s="20" t="str">
        <x:v>Lulus dengan catatan</x:v>
      </x:c>
      <x:c r="F9" s="20" t="str">
        <x:v>Build lulus; risiko bundle besar dicatat.</x:v>
      </x:c>
    </x:row>
    <x:row r="10">
      <x:c r="A10" s="20" t="str">
        <x:v>REQ-LINT</x:v>
      </x:c>
      <x:c r="B10" s="20" t="str">
        <x:v>Static analysis frontend</x:v>
      </x:c>
      <x:c r="C10" s="20" t="str">
        <x:v>REG-LINT-001</x:v>
      </x:c>
      <x:c r="D10" s="20" t="str">
        <x:v>Tercakup</x:v>
      </x:c>
      <x:c r="E10" s="20" t="str">
        <x:v>Gagal</x:v>
      </x:c>
      <x:c r="F10" s="20" t="str">
        <x:v>Perlu perbaikan konfigurasi ESLint.</x:v>
      </x:c>
    </x:row>
    <x:row r="11">
      <x:c r="A11" s="20" t="str">
        <x:v>REQ-FULL</x:v>
      </x:c>
      <x:c r="B11" s="20" t="str">
        <x:v>Full automated regression</x:v>
      </x:c>
      <x:c r="C11" s="20" t="str">
        <x:v>REG-FULL-001</x:v>
      </x:c>
      <x:c r="D11" s="20" t="str">
        <x:v>Tercakup</x:v>
      </x:c>
      <x:c r="E11" s="20" t="str">
        <x:v>Gagal</x:v>
      </x:c>
      <x:c r="F11" s="20" t="str">
        <x:v>Perlu pemeliharaan test historis.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36f9a5e09444a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32" hidden="0" customWidth="1"/>
    <x:col min="5" max="5" width="70" hidden="0" customWidth="1"/>
  </x:cols>
  <x:sheetData>
    <x:row r="1" ht="39" customHeight="1">
      <x:c r="A1" s="16" t="str">
        <x:v>Log Eksekusi</x:v>
      </x:c>
      <x:c r="B1" s="16" t="str"/>
      <x:c r="C1" s="16" t="str"/>
      <x:c r="D1" s="16" t="str"/>
      <x:c r="E1" s="16" t="str"/>
    </x:row>
    <x:row r="2">
      <x:c r="A2" s="17" t="str">
        <x:v>Mencatat perintah, status, hasil ringkas, dan catatan eksekusi aktual pada branch saat ini.</x:v>
      </x:c>
      <x:c r="B2" s="17" t="str"/>
      <x:c r="C2" s="17" t="str"/>
      <x:c r="D2" s="17" t="str"/>
      <x:c r="E2" s="17" t="str"/>
    </x:row>
    <x:row r="3">
      <x:c r="A3" s="18"/>
      <x:c r="B3" s="18"/>
      <x:c r="C3" s="18"/>
      <x:c r="D3" s="18"/>
      <x:c r="E3" s="18"/>
    </x:row>
    <x:row r="4" ht="25.5" customHeight="1">
      <x:c r="A4" s="19" t="str">
        <x:v>Tanggal</x:v>
      </x:c>
      <x:c r="B4" s="19" t="str">
        <x:v>Aktivitas / Perintah</x:v>
      </x:c>
      <x:c r="C4" s="19" t="str">
        <x:v>Status</x:v>
      </x:c>
      <x:c r="D4" s="19" t="str">
        <x:v>Hasil Ringkas</x:v>
      </x:c>
      <x:c r="E4" s="19" t="str">
        <x:v>Catatan</x:v>
      </x:c>
    </x:row>
    <x:row r="5">
      <x:c r="A5" s="20" t="str">
        <x:v>2026-06-07</x:v>
      </x:c>
      <x:c r="B5" s="20" t="str">
        <x:v>php artisan test --filter=LegacyTestCaseAlignmentTest</x:v>
      </x:c>
      <x:c r="C5" s="20" t="str">
        <x:v>Lulus</x:v>
      </x:c>
      <x:c r="D5" s="20" t="str">
        <x:v>4 test, 60 assertion</x:v>
      </x:c>
      <x:c r="E5" s="20" t="str">
        <x:v>Suite alignment kasus uji lama berhasil dijalankan pada MySQL testing.</x:v>
      </x:c>
    </x:row>
    <x:row r="6">
      <x:c r="A6" s="20" t="str">
        <x:v>2026-06-07</x:v>
      </x:c>
      <x:c r="B6" s="20" t="str">
        <x:v>php artisan test</x:v>
      </x:c>
      <x:c r="C6" s="20" t="str">
        <x:v>Gagal</x:v>
      </x:c>
      <x:c r="D6" s="20" t="str">
        <x:v>30 passed, 13 failed</x:v>
      </x:c>
      <x:c r="E6" s="20" t="str">
        <x:v>Kegagalan berada pada test historis MeetingUnitTest, Auth/Profile, dan ProfileController::destroy.</x:v>
      </x:c>
    </x:row>
    <x:row r="7">
      <x:c r="A7" s="20" t="str">
        <x:v>2026-06-07</x:v>
      </x:c>
      <x:c r="B7" s="20" t="str">
        <x:v>php artisan route:list --except-vendor</x:v>
      </x:c>
      <x:c r="C7" s="20" t="str">
        <x:v>Lulus</x:v>
      </x:c>
      <x:c r="D7" s="20" t="str">
        <x:v>68 route</x:v>
      </x:c>
      <x:c r="E7" s="20" t="str">
        <x:v>Inventaris route dapat dibaca tanpa exception.</x:v>
      </x:c>
    </x:row>
    <x:row r="8">
      <x:c r="A8" s="20" t="str">
        <x:v>2026-06-07</x:v>
      </x:c>
      <x:c r="B8" s="20" t="str">
        <x:v>npm.cmd run build</x:v>
      </x:c>
      <x:c r="C8" s="20" t="str">
        <x:v>Lulus</x:v>
      </x:c>
      <x:c r="D8" s="20" t="str">
        <x:v>4061 modules transformed; 8,73s</x:v>
      </x:c>
      <x:c r="E8" s="20" t="str">
        <x:v>Build Vite sukses dengan catatan chunk ClassDetail melebihi 500 kB.</x:v>
      </x:c>
    </x:row>
    <x:row r="9">
      <x:c r="A9" s="20" t="str">
        <x:v>2026-06-07</x:v>
      </x:c>
      <x:c r="B9" s="20" t="str">
        <x:v>npm.cmd run lint</x:v>
      </x:c>
      <x:c r="C9" s="20" t="str">
        <x:v>Gagal</x:v>
      </x:c>
      <x:c r="D9" s="20" t="str">
        <x:v>ConfigError</x:v>
      </x:c>
      <x:c r="E9" s="20" t="str">
        <x:v>ESLint gagal karena plugin react-hooks didefinisikan ulang.</x:v>
      </x:c>
    </x:row>
  </x:sheetData>
  <x:mergeCells>
    <x:mergeCell ref="A1:E1"/>
    <x:mergeCell ref="A2:E2"/>
  </x:mergeCells>
  <x:conditionalFormatting sqref="C5:C9">
    <x:cfRule type="containsText" dxfId="3" priority="1" operator="containsText" text="Lulus"/>
    <x:cfRule type="containsText" dxfId="4" priority="2" operator="containsText" text="Gagal"/>
  </x:conditionalFormatting>
  <x:pageMargins left="0.7" right="0.7" top="0.75" bottom="0.75" header="0.3" footer="0.3"/>
  <x:tableParts count="1">
    <x:tablePart xmlns:r="http://schemas.openxmlformats.org/officeDocument/2006/relationships" r:id="R4bbab793ff5847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14" hidden="0" customWidth="1"/>
    <x:col min="5" max="5" width="18" hidden="0" customWidth="1"/>
    <x:col min="6" max="6" width="24" hidden="0" customWidth="1"/>
    <x:col min="7" max="7" width="48" hidden="0" customWidth="1"/>
    <x:col min="8" max="8" width="64" hidden="0" customWidth="1"/>
  </x:cols>
  <x:sheetData>
    <x:row r="1" ht="39" customHeight="1">
      <x:c r="A1" s="16" t="str">
        <x:v>Log Cacat</x:v>
      </x:c>
      <x:c r="B1" s="16" t="str"/>
      <x:c r="C1" s="16" t="str"/>
      <x:c r="D1" s="16" t="str"/>
      <x:c r="E1" s="16" t="str"/>
      <x:c r="F1" s="16" t="str"/>
      <x:c r="G1" s="16" t="str"/>
      <x:c r="H1" s="16" t="str"/>
    </x:row>
    <x:row r="2">
      <x:c r="A2" s="17" t="str">
        <x:v>Cacat ditautkan ke kasus uji yang menemukannya agar ketertelusuran tetap jelas.</x:v>
      </x:c>
      <x:c r="B2" s="17" t="str"/>
      <x:c r="C2" s="17" t="str"/>
      <x:c r="D2" s="17" t="str"/>
      <x:c r="E2" s="17" t="str"/>
      <x:c r="F2" s="17" t="str"/>
      <x:c r="G2" s="17" t="str"/>
      <x:c r="H2" s="17" t="str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 ht="25.5" customHeight="1">
      <x:c r="A4" s="19" t="str">
        <x:v>ID Cacat</x:v>
      </x:c>
      <x:c r="B4" s="19" t="str">
        <x:v>Judul</x:v>
      </x:c>
      <x:c r="C4" s="19" t="str">
        <x:v>Keparahan</x:v>
      </x:c>
      <x:c r="D4" s="19" t="str">
        <x:v>Prioritas</x:v>
      </x:c>
      <x:c r="E4" s="19" t="str">
        <x:v>Status</x:v>
      </x:c>
      <x:c r="F4" s="19" t="str">
        <x:v>Kasus Uji Terkait</x:v>
      </x:c>
      <x:c r="G4" s="19" t="str">
        <x:v>Bukti</x:v>
      </x:c>
      <x:c r="H4" s="19" t="str">
        <x:v>Rekomendasi Perbaikan</x:v>
      </x:c>
    </x:row>
    <x:row r="5">
      <x:c r="A5" s="20" t="str">
        <x:v>REG-01</x:v>
      </x:c>
      <x:c r="B5" s="20" t="str">
        <x:v>Full PHPUnit suite belum bersih</x:v>
      </x:c>
      <x:c r="C5" s="20" t="str">
        <x:v>Tinggi</x:v>
      </x:c>
      <x:c r="D5" s="20" t="str">
        <x:v>Tinggi</x:v>
      </x:c>
      <x:c r="E5" s="20" t="str">
        <x:v>Terbuka</x:v>
      </x:c>
      <x:c r="F5" s="20" t="str">
        <x:v>REG-FULL-001</x:v>
      </x:c>
      <x:c r="G5" s="20" t="str">
        <x:v>13 failed pada test historis.</x:v>
      </x:c>
      <x:c r="H5" s="20" t="str">
        <x:v>Sinkronkan test historis dengan implementasi Inertia/controller atau lengkapi method yang hilang.</x:v>
      </x:c>
    </x:row>
    <x:row r="6">
      <x:c r="A6" s="20" t="str">
        <x:v>REG-02</x:v>
      </x:c>
      <x:c r="B6" s="20" t="str">
        <x:v>ESLint ConfigError react-hooks</x:v>
      </x:c>
      <x:c r="C6" s="20" t="str">
        <x:v>Sedang</x:v>
      </x:c>
      <x:c r="D6" s="20" t="str">
        <x:v>Tinggi</x:v>
      </x:c>
      <x:c r="E6" s="20" t="str">
        <x:v>Terbuka</x:v>
      </x:c>
      <x:c r="F6" s="20" t="str">
        <x:v>REG-LINT-001</x:v>
      </x:c>
      <x:c r="G6" s="20" t="str">
        <x:v>Config (unnamed): Key plugins cannot redefine plugin react-hooks.</x:v>
      </x:c>
      <x:c r="H6" s="20" t="str">
        <x:v>Rapikan flat config ESLint agar plugin react-hooks hanya didefinisikan sekali.</x:v>
      </x:c>
    </x:row>
    <x:row r="7">
      <x:c r="A7" s="20" t="str">
        <x:v>REG-03</x:v>
      </x:c>
      <x:c r="B7" s="20" t="str">
        <x:v>Chunk ClassDetail besar</x:v>
      </x:c>
      <x:c r="C7" s="20" t="str">
        <x:v>Sedang</x:v>
      </x:c>
      <x:c r="D7" s="20" t="str">
        <x:v>Sedang</x:v>
      </x:c>
      <x:c r="E7" s="20" t="str">
        <x:v>Terbuka</x:v>
      </x:c>
      <x:c r="F7" s="20" t="str">
        <x:v>REG-PERF-001</x:v>
      </x:c>
      <x:c r="G7" s="20" t="str">
        <x:v>Chunk ClassDetail 610,38 kB sebelum gzip.</x:v>
      </x:c>
      <x:c r="H7" s="20" t="str">
        <x:v>Evaluasi dynamic import atau manual chunks untuk halaman detail kelas.</x:v>
      </x:c>
    </x:row>
    <x:row r="8">
      <x:c r="A8" s="20" t="str">
        <x:v>REG-04</x:v>
      </x:c>
      <x:c r="B8" s="20" t="str">
        <x:v>Warning metadata PHPUnit doc-comment</x:v>
      </x:c>
      <x:c r="C8" s="20" t="str">
        <x:v>Rendah</x:v>
      </x:c>
      <x:c r="D8" s="20" t="str">
        <x:v>Rendah</x:v>
      </x:c>
      <x:c r="E8" s="20" t="str">
        <x:v>Terbuka</x:v>
      </x:c>
      <x:c r="F8" s="20" t="str">
        <x:v>REG-FULL-001</x:v>
      </x:c>
      <x:c r="G8" s="20" t="str">
        <x:v>PHPUnit memberi warning metadata di doc-comment pada test lama.</x:v>
      </x:c>
      <x:c r="H8" s="20" t="str">
        <x:v>Migrasikan anotasi @test lama ke attribute PHPUnit modern bila perlu.</x:v>
      </x:c>
    </x:row>
  </x:sheetData>
  <x:mergeCells>
    <x:mergeCell ref="A1:H1"/>
    <x:mergeCell ref="A2:H2"/>
  </x:mergeCells>
  <x:conditionalFormatting sqref="C5:D8">
    <x:cfRule type="containsText" dxfId="5" priority="1" operator="containsText" text="Tinggi"/>
    <x:cfRule type="containsText" dxfId="6" priority="2" operator="containsText" text="Sedang"/>
  </x:conditionalFormatting>
  <x:dataValidations count="2">
    <x:dataValidation type="list" sqref="E5:E8">
      <x:formula1>"Terbuka,Dalam Perbaikan,Selesai,Ditutup"</x:formula1>
    </x:dataValidation>
    <x:dataValidation type="list" sqref="C5:D8">
      <x:formula1>"Tinggi,Sedang,Rendah"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524b6821e448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20" hidden="0" customWidth="1"/>
  </x:cols>
  <x:sheetData>
    <x:row r="1" ht="25.5" customHeight="1">
      <x:c r="A1" s="19" t="str">
        <x:v>Status Eksekusi</x:v>
      </x:c>
      <x:c r="B1" s="19" t="str">
        <x:v>Prioritas</x:v>
      </x:c>
      <x:c r="C1" s="19" t="str">
        <x:v>Severity</x:v>
      </x:c>
      <x:c r="D1" s="19" t="str">
        <x:v>Status Otomatisasi</x:v>
      </x:c>
      <x:c r="E1" s="19" t="str">
        <x:v>Status Defect</x:v>
      </x:c>
    </x:row>
    <x:row r="2">
      <x:c r="A2" s="20" t="str">
        <x:v>Lulus</x:v>
      </x:c>
      <x:c r="B2" s="20" t="str">
        <x:v>Tinggi</x:v>
      </x:c>
      <x:c r="C2" s="20" t="str">
        <x:v>Tinggi</x:v>
      </x:c>
      <x:c r="D2" s="20" t="str">
        <x:v>Otomatis</x:v>
      </x:c>
      <x:c r="E2" s="20" t="str">
        <x:v>Terbuka</x:v>
      </x:c>
    </x:row>
    <x:row r="3">
      <x:c r="A3" s="20" t="str">
        <x:v>Gagal</x:v>
      </x:c>
      <x:c r="B3" s="20" t="str">
        <x:v>Sedang</x:v>
      </x:c>
      <x:c r="C3" s="20" t="str">
        <x:v>Sedang</x:v>
      </x:c>
      <x:c r="D3" s="20" t="str">
        <x:v>Otomatis CLI</x:v>
      </x:c>
      <x:c r="E3" s="20" t="str">
        <x:v>Dalam Perbaikan</x:v>
      </x:c>
    </x:row>
    <x:row r="4">
      <x:c r="A4" s="20" t="str">
        <x:v>Terblokir</x:v>
      </x:c>
      <x:c r="B4" s="20" t="str">
        <x:v>Rendah</x:v>
      </x:c>
      <x:c r="C4" s="20" t="str">
        <x:v>Rendah</x:v>
      </x:c>
      <x:c r="D4" s="20" t="str">
        <x:v>Kandidat Manual</x:v>
      </x:c>
      <x:c r="E4" s="20" t="str">
        <x:v>Selesai</x:v>
      </x:c>
    </x:row>
    <x:row r="5">
      <x:c r="A5" s="20" t="str">
        <x:v>Belum Dijalankan</x:v>
      </x:c>
      <x:c r="B5" s="20"/>
      <x:c r="C5" s="20"/>
      <x:c r="D5" s="20"/>
      <x:c r="E5" s="20" t="str">
        <x:v>Ditutup</x:v>
      </x:c>
    </x:row>
    <x:row r="6">
      <x:c r="A6" s="20" t="str">
        <x:v>Sedang Berjalan</x:v>
      </x:c>
      <x:c r="B6" s="20"/>
      <x:c r="C6" s="20"/>
      <x:c r="D6" s="20"/>
      <x:c r="E6" s="20"/>
    </x:row>
  </x:sheetData>
  <x:pageMargins left="0.7" right="0.7" top="0.75" bottom="0.75" header="0.3" footer="0.3"/>
</x:worksheet>
</file>